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irlo\Desktop\tasks course of data analysis\excell\"/>
    </mc:Choice>
  </mc:AlternateContent>
  <xr:revisionPtr revIDLastSave="0" documentId="13_ncr:1_{5D252DF6-CE4B-45AC-A1DE-0213DE25BA22}" xr6:coauthVersionLast="47" xr6:coauthVersionMax="47" xr10:uidLastSave="{00000000-0000-0000-0000-000000000000}"/>
  <bookViews>
    <workbookView xWindow="-108" yWindow="-108" windowWidth="23256" windowHeight="12456" firstSheet="1" activeTab="3" xr2:uid="{00000000-000D-0000-FFFF-FFFF00000000}"/>
  </bookViews>
  <sheets>
    <sheet name="الارشادات" sheetId="3" state="hidden" r:id="rId1"/>
    <sheet name="البيانات" sheetId="1" r:id="rId2"/>
    <sheet name="pivot table" sheetId="4" r:id="rId3"/>
    <sheet name="dashboard" sheetId="5" r:id="rId4"/>
  </sheets>
  <definedNames>
    <definedName name="_xlnm._FilterDatabase" localSheetId="1" hidden="1">البيانات!$A$2:$S$124</definedName>
    <definedName name="Slicer_المنتج">#N/A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L11" i="4" l="1"/>
  <c r="N130" i="1"/>
  <c r="Q10" i="4"/>
  <c r="I11" i="4"/>
  <c r="C10" i="4"/>
  <c r="BE15" i="4"/>
  <c r="C12" i="4"/>
</calcChain>
</file>

<file path=xl/sharedStrings.xml><?xml version="1.0" encoding="utf-8"?>
<sst xmlns="http://schemas.openxmlformats.org/spreadsheetml/2006/main" count="1360" uniqueCount="305">
  <si>
    <t>أسم العميل</t>
  </si>
  <si>
    <t>العنوان</t>
  </si>
  <si>
    <t>المنتج</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</si>
  <si>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</si>
  <si>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</si>
  <si>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</si>
  <si>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</si>
  <si>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</si>
  <si>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</si>
  <si>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</si>
  <si>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</si>
  <si>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</si>
  <si>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</si>
  <si>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</si>
  <si>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</si>
  <si>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</si>
  <si>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</si>
  <si>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</si>
  <si>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</si>
  <si>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</si>
  <si>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</si>
  <si>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</si>
  <si>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</si>
  <si>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</si>
  <si>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</si>
  <si>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</si>
  <si>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</si>
  <si>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</si>
  <si>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</si>
  <si>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</si>
  <si>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فيس بوك</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</si>
  <si>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</si>
  <si>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</si>
  <si>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</si>
  <si>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</si>
  <si>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</si>
  <si>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</si>
  <si>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</si>
  <si>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</si>
  <si>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</si>
  <si>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</si>
  <si>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</si>
  <si>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</si>
  <si>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</si>
  <si>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</si>
  <si>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</si>
  <si>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</si>
  <si>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</si>
  <si>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</si>
  <si>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</si>
  <si>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</si>
  <si>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</si>
  <si>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</si>
  <si>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</si>
  <si>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</si>
  <si>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</si>
  <si>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</si>
  <si>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</si>
  <si>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</si>
  <si>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</si>
  <si>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</si>
  <si>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</si>
  <si>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</si>
  <si>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</si>
  <si>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</si>
  <si>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</si>
  <si>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</si>
  <si>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</si>
  <si>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</si>
  <si>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</si>
  <si>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</si>
  <si>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</si>
  <si>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</si>
  <si>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</si>
  <si>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</si>
  <si>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</si>
  <si>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</si>
  <si>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</si>
  <si>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</si>
  <si>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</si>
  <si>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</si>
  <si>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</si>
  <si>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</si>
  <si>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</si>
  <si>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</si>
  <si>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</si>
  <si>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</si>
  <si>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</si>
  <si>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</si>
  <si>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</si>
  <si>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</si>
  <si>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</si>
  <si>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</si>
  <si>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</si>
  <si>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</si>
  <si>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</si>
  <si>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</si>
  <si>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</si>
  <si>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</si>
  <si>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</si>
  <si>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</si>
  <si>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</si>
  <si>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</si>
  <si>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</si>
  <si>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</si>
  <si>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</si>
  <si>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</si>
  <si>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</si>
  <si>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</si>
  <si>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</si>
  <si>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</si>
  <si>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</si>
  <si>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</si>
  <si>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</si>
  <si>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</si>
  <si>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</si>
  <si>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</si>
  <si>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</si>
  <si>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</si>
  <si>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</si>
  <si>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</si>
  <si>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</si>
  <si>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</si>
  <si>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</si>
  <si>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</si>
  <si>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</si>
  <si>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</si>
  <si>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</si>
  <si>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</si>
  <si>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</si>
  <si>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</si>
  <si>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</si>
  <si>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</si>
  <si>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</si>
  <si>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</si>
  <si>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</si>
  <si>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</si>
  <si>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</si>
  <si>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</si>
  <si>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</si>
  <si>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</si>
  <si>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</si>
  <si>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</si>
  <si>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</si>
  <si>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</si>
  <si>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</si>
  <si>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</si>
  <si>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كرسى</t>
  </si>
  <si>
    <t>فنسيا</t>
  </si>
  <si>
    <t>4*1</t>
  </si>
  <si>
    <t>دورين</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</si>
  <si>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</si>
  <si>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</si>
  <si>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</si>
  <si>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</si>
  <si>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</si>
  <si>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</si>
  <si>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</si>
  <si>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</si>
  <si>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</si>
  <si>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</si>
  <si>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</si>
  <si>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</si>
  <si>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</si>
  <si>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</si>
  <si>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</si>
  <si>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</si>
  <si>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</si>
  <si>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Mohamed Ayman</t>
  </si>
  <si>
    <t>2 ميكانزم</t>
  </si>
  <si>
    <t>بمكتبة</t>
  </si>
  <si>
    <t>رف سحاب</t>
  </si>
  <si>
    <t>الحالة</t>
  </si>
  <si>
    <t>فشل التسليم</t>
  </si>
  <si>
    <t>اسامه</t>
  </si>
  <si>
    <t>تم التسليم</t>
  </si>
  <si>
    <t xml:space="preserve">تم التسليم محمود على </t>
  </si>
  <si>
    <t xml:space="preserve">المخزن ابو الغيط </t>
  </si>
  <si>
    <t>اسود وبنى</t>
  </si>
  <si>
    <t>ولاء بدوى</t>
  </si>
  <si>
    <t>عبد الرحمن يسري</t>
  </si>
  <si>
    <t>كنبه</t>
  </si>
  <si>
    <t>4×1</t>
  </si>
  <si>
    <t>مرتجع</t>
  </si>
  <si>
    <t>الحج محمد السويس</t>
  </si>
  <si>
    <t xml:space="preserve">السويس </t>
  </si>
  <si>
    <t>السويس</t>
  </si>
  <si>
    <t>فانتاستك</t>
  </si>
  <si>
    <t>ملون</t>
  </si>
  <si>
    <t>فنيسيا</t>
  </si>
  <si>
    <t>رصاصي مشجر</t>
  </si>
  <si>
    <t>بيج</t>
  </si>
  <si>
    <t>شيزلونج</t>
  </si>
  <si>
    <t xml:space="preserve">نبيتى </t>
  </si>
  <si>
    <t>عمرو الأسود</t>
  </si>
  <si>
    <t>الزمالك</t>
  </si>
  <si>
    <t>مخزن شيك هومز</t>
  </si>
  <si>
    <t xml:space="preserve">بترولى </t>
  </si>
  <si>
    <t xml:space="preserve">تم التسليم بمعرفه الحج سيد </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</si>
  <si>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</si>
  <si>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</si>
  <si>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</si>
  <si>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</si>
  <si>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</si>
  <si>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</si>
  <si>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</si>
  <si>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</si>
  <si>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</si>
  <si>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</si>
  <si>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</si>
  <si>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</si>
  <si>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بلحه</t>
  </si>
  <si>
    <t>خشب بنى فاتح</t>
  </si>
  <si>
    <t>فانتستيك</t>
  </si>
  <si>
    <t>المعرض مدينه نصر</t>
  </si>
  <si>
    <t>فاطمه محمد</t>
  </si>
  <si>
    <t>بولا هومزمارت</t>
  </si>
  <si>
    <t xml:space="preserve">محمد شكرى </t>
  </si>
  <si>
    <t>ارينا</t>
  </si>
  <si>
    <t>بترولى</t>
  </si>
  <si>
    <t>so3290</t>
  </si>
  <si>
    <t>منزلى</t>
  </si>
  <si>
    <t>مدينتى</t>
  </si>
  <si>
    <t>s_6725</t>
  </si>
  <si>
    <t>حماده</t>
  </si>
  <si>
    <t>صفاء عبد الباقي</t>
  </si>
  <si>
    <t xml:space="preserve">كينج </t>
  </si>
  <si>
    <t>s_6806</t>
  </si>
  <si>
    <t>s-6626</t>
  </si>
  <si>
    <t xml:space="preserve">دورين </t>
  </si>
  <si>
    <t xml:space="preserve">مرفوض </t>
  </si>
  <si>
    <t xml:space="preserve">رندا العامرى </t>
  </si>
  <si>
    <t xml:space="preserve">كيمت </t>
  </si>
  <si>
    <t xml:space="preserve">كيفنج </t>
  </si>
  <si>
    <t xml:space="preserve">فردى </t>
  </si>
  <si>
    <t>امريكى</t>
  </si>
  <si>
    <t>محمد حمدى</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</si>
  <si>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</si>
  <si>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</si>
  <si>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</si>
  <si>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</si>
  <si>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</si>
  <si>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</si>
  <si>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</si>
  <si>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</si>
  <si>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</si>
  <si>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</si>
  <si>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</si>
  <si>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</si>
  <si>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</si>
  <si>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</si>
  <si>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</si>
  <si>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</si>
  <si>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</si>
  <si>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بنى غامق</t>
  </si>
  <si>
    <t>نور</t>
  </si>
  <si>
    <t xml:space="preserve">بنى غامق </t>
  </si>
  <si>
    <t>تامر</t>
  </si>
  <si>
    <t>٢ ميكانزم</t>
  </si>
  <si>
    <t xml:space="preserve">بيج </t>
  </si>
  <si>
    <t>هناء اسامه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</si>
  <si>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</si>
  <si>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</si>
  <si>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</si>
  <si>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</si>
  <si>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</si>
  <si>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</si>
  <si>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</si>
  <si>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</si>
  <si>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</si>
  <si>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</si>
  <si>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</si>
  <si>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</si>
  <si>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</si>
  <si>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</si>
  <si>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</si>
  <si>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</si>
  <si>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</si>
  <si>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</si>
  <si>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</si>
  <si>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</si>
  <si>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</si>
  <si>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</si>
  <si>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ملغي</t>
  </si>
  <si>
    <t>وصف المنتج</t>
  </si>
  <si>
    <t>وصف المنتج الكامل</t>
  </si>
  <si>
    <t>رمادي</t>
  </si>
  <si>
    <t>مدينه بدر</t>
  </si>
  <si>
    <t>total of sales</t>
  </si>
  <si>
    <t xml:space="preserve">Sum of سعر البيع </t>
  </si>
  <si>
    <t>total of orders</t>
  </si>
  <si>
    <t>Count of رقم الطلب</t>
  </si>
  <si>
    <t xml:space="preserve">Average of سعر البيع </t>
  </si>
  <si>
    <t>Row Labels</t>
  </si>
  <si>
    <t>Grand Total</t>
  </si>
  <si>
    <t>best-selling product</t>
  </si>
  <si>
    <t>aver selling price</t>
  </si>
  <si>
    <t>Count of المنتج</t>
  </si>
  <si>
    <t>Number of products sold by platform</t>
  </si>
  <si>
    <t>best-selling color</t>
  </si>
  <si>
    <t>best-selling city</t>
  </si>
  <si>
    <t>Count of أسم العميل</t>
  </si>
  <si>
    <t>The number of individuals that Maceo company deals with</t>
  </si>
  <si>
    <t>نسبه الطلبات المسلمه في الموعد</t>
  </si>
  <si>
    <t>نسبه الطلبات الملغاه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</si>
</sst>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5"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sz val="14"/>
      <color theme="1"/>
      <name val="Calibri"/>
      <family val="2"/>
      <scheme val="minor"/>
    </font>
    <font>
      <sz val="20"/>
      <color theme="1"/>
      <name val="Calibri"/>
      <family val="2"/>
      <scheme val="minor"/>
    </font>
    <font>
      <sz val="26"/>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FFFFB"/>
        <bgColor indexed="64"/>
      </patternFill>
    </fill>
  </fills>
  <borders count="1">
    <border>
      <left/>
      <right/>
      <top/>
      <bottom/>
      <diagonal/>
    </border>
  </borders>
  <cellStyleXfs count="3">
    <xf numFmtId="0" fontId="0" fillId="0" borderId="0"/>
    <xf numFmtId="43" fontId="10" fillId="0" borderId="0" applyFont="0" applyFill="0" applyBorder="0" applyAlignment="0" applyProtection="0"/>
    <xf numFmtId="9" fontId="10" fillId="0" borderId="0" applyFont="0" applyFill="0" applyBorder="0" applyAlignment="0" applyProtection="0"/>
  </cellStyleXfs>
  <cellXfs count="33">
    <xf numFmtId="0" fontId="0" fillId="0" borderId="0" xfId="0"/>
    <xf numFmtId="0" fontId="0" fillId="0" borderId="0" xfId="0" applyAlignment="1">
      <alignment horizontal="right" vertical="center"/>
    </xf>
    <xf numFmtId="2" fontId="0" fillId="0" borderId="0" xfId="0" applyNumberFormat="1" applyAlignment="1">
      <alignment horizontal="right"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14" fontId="0" fillId="0" borderId="0" xfId="0" applyNumberFormat="1"/>
    <xf numFmtId="14" fontId="0" fillId="0" borderId="0" xfId="0" applyNumberFormat="1" applyAlignment="1">
      <alignment horizontal="right" vertical="center"/>
    </xf>
    <xf numFmtId="0" fontId="11" fillId="0" borderId="0" xfId="0" applyFont="1"/>
    <xf numFmtId="14" fontId="11" fillId="0" borderId="0" xfId="0" applyNumberFormat="1" applyFont="1"/>
    <xf numFmtId="164" fontId="11" fillId="0" borderId="0" xfId="1" applyNumberFormat="1" applyFont="1"/>
    <xf numFmtId="164" fontId="0" fillId="0" borderId="0" xfId="1" applyNumberFormat="1" applyFont="1"/>
    <xf numFmtId="164" fontId="0" fillId="0" borderId="0" xfId="1" applyNumberFormat="1" applyFont="1" applyAlignment="1">
      <alignment horizontal="right" vertical="center"/>
    </xf>
    <xf numFmtId="164" fontId="0" fillId="0" borderId="0" xfId="0" applyNumberFormat="1"/>
    <xf numFmtId="0" fontId="0" fillId="0" borderId="0" xfId="0" pivotButton="1"/>
    <xf numFmtId="43" fontId="0" fillId="0" borderId="0" xfId="0" applyNumberFormat="1"/>
    <xf numFmtId="0" fontId="0" fillId="0" borderId="0" xfId="0" applyAlignment="1">
      <alignment horizontal="left"/>
    </xf>
    <xf numFmtId="9" fontId="0" fillId="0" borderId="0" xfId="0" applyNumberFormat="1"/>
    <xf numFmtId="9" fontId="0" fillId="0" borderId="0" xfId="2" applyFont="1"/>
    <xf numFmtId="10" fontId="0" fillId="0" borderId="0" xfId="0" applyNumberFormat="1"/>
    <xf numFmtId="0" fontId="0" fillId="3" borderId="0" xfId="0" applyFill="1"/>
    <xf numFmtId="0" fontId="0" fillId="2" borderId="0" xfId="0" applyFill="1" applyAlignment="1">
      <alignment horizontal="center"/>
    </xf>
    <xf numFmtId="0" fontId="14" fillId="2" borderId="0" xfId="0" applyFont="1" applyFill="1" applyAlignment="1">
      <alignment horizontal="center"/>
    </xf>
    <xf numFmtId="0" fontId="12" fillId="2" borderId="0" xfId="0" applyFont="1" applyFill="1" applyAlignment="1">
      <alignment horizontal="center"/>
    </xf>
    <xf numFmtId="0" fontId="13" fillId="2" borderId="0" xfId="0" applyFont="1" applyFill="1" applyAlignment="1">
      <alignment horizontal="center"/>
    </xf>
    <xf numFmtId="0" fontId="11" fillId="2" borderId="0" xfId="0" applyFont="1" applyFill="1" applyAlignment="1">
      <alignment horizontal="center"/>
    </xf>
  </cellXfs>
  <cellStyles count="3">
    <cellStyle name="Comma" xfId="1" builtinId="3"/>
    <cellStyle name="Normal" xfId="0" builtinId="0"/>
    <cellStyle name="Percent" xfId="2" builtinId="5"/>
  </cellStyles>
  <dxfs count="10">
    <dxf>
      <numFmt numFmtId="35" formatCode="_(* #,##0.00_);_(* \(#,##0.00\);_(* &quot;-&quot;??_);_(@_)"/>
    </dxf>
    <dxf>
      <numFmt numFmtId="164" formatCode="_(* #,##0_);_(* \(#,##0\);_(* &quot;-&quot;??_);_(@_)"/>
    </dxf>
    <dxf>
      <numFmt numFmtId="19" formatCode="m/d/yyyy"/>
    </dxf>
    <dxf>
      <numFmt numFmtId="19" formatCode="m/d/yyyy"/>
    </dxf>
    <dxf>
      <numFmt numFmtId="19" formatCode="m/d/yyyy"/>
    </dxf>
    <dxf>
      <numFmt numFmtId="164" formatCode="_(* #,##0_);_(* \(#,##0\);_(* &quot;-&quot;??_);_(@_)"/>
    </dxf>
    <dxf>
      <font>
        <strike val="0"/>
        <outline val="0"/>
        <shadow val="0"/>
        <u val="none"/>
        <vertAlign val="baseline"/>
        <sz val="14"/>
        <color theme="1"/>
        <name val="Calibri"/>
        <family val="2"/>
        <scheme val="minor"/>
      </font>
    </dxf>
    <dxf>
      <font>
        <color rgb="FFFFFFFB"/>
      </font>
      <fill>
        <patternFill>
          <bgColor rgb="FF182540"/>
        </patternFill>
      </fill>
      <border diagonalUp="0" diagonalDown="0">
        <left/>
        <right/>
        <top/>
        <bottom/>
        <vertical/>
        <horizontal/>
      </border>
    </dxf>
    <dxf>
      <fill>
        <patternFill>
          <bgColor rgb="FF182540"/>
        </patternFill>
      </fill>
    </dxf>
    <dxf>
      <fill>
        <patternFill>
          <bgColor rgb="FF192E59"/>
        </patternFill>
      </fill>
      <border diagonalUp="0" diagonalDown="0">
        <left/>
        <right/>
        <top/>
        <bottom/>
        <vertical/>
        <horizontal/>
      </border>
    </dxf>
  </dxfs>
  <tableStyles count="4" defaultTableStyle="TableStyleMedium2" defaultPivotStyle="PivotStyleLight16">
    <tableStyle name="Invisible" pivot="0" table="0" count="0" xr9:uid="{AA73528B-8D85-432A-9172-AA70B5E8C669}"/>
    <tableStyle name="Slicer Style 1" pivot="0" table="0" count="1" xr9:uid="{F628AFF0-8D3F-4CB3-A9C4-99F59B1BB0A1}">
      <tableStyleElement type="wholeTable" dxfId="9"/>
    </tableStyle>
    <tableStyle name="Slicer Style 2" pivot="0" table="0" count="1" xr9:uid="{E5A69038-F9AA-4C16-92A2-2FE00DB45651}">
      <tableStyleElement type="wholeTable" dxfId="8"/>
    </tableStyle>
    <tableStyle name="Slicer Style 3" pivot="0" table="0" count="1" xr9:uid="{7F538430-1F50-4003-8AFF-E2FDC9AC7D69}">
      <tableStyleElement type="wholeTable" dxfId="7"/>
    </tableStyle>
  </tableStyles>
  <colors>
    <mruColors>
      <color rgb="FFFFFFFB"/>
      <color rgb="FF182540"/>
      <color rgb="FF192E59"/>
      <color rgb="FFBF0426"/>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Kirlos Hazem.xlsx]pivot table!PivotTable4</c:name>
    <c:fmtId val="6"/>
  </c:pivotSource>
  <c:chart>
    <c:title>
      <c:tx>
        <c:rich>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r>
              <a:rPr lang="en-US" sz="1600" b="1">
                <a:solidFill>
                  <a:srgbClr val="BF0426"/>
                </a:solidFill>
              </a:rPr>
              <a:t>Sales</a:t>
            </a:r>
            <a:r>
              <a:rPr lang="en-US" sz="1600" b="1" baseline="0">
                <a:solidFill>
                  <a:srgbClr val="BF0426"/>
                </a:solidFill>
              </a:rPr>
              <a:t> by category</a:t>
            </a:r>
            <a:endParaRPr lang="en-US" sz="1600" b="1">
              <a:solidFill>
                <a:srgbClr val="BF042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table'!$X$9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table'!$W$10:$W$16</c:f>
              <c:strCache>
                <c:ptCount val="6"/>
                <c:pt idx="0">
                  <c:v>ترابيزه</c:v>
                </c:pt>
                <c:pt idx="1">
                  <c:v>ركنة</c:v>
                </c:pt>
                <c:pt idx="2">
                  <c:v>سرير</c:v>
                </c:pt>
                <c:pt idx="3">
                  <c:v>شيزلونج</c:v>
                </c:pt>
                <c:pt idx="4">
                  <c:v>كرسى</c:v>
                </c:pt>
                <c:pt idx="5">
                  <c:v>كنبه</c:v>
                </c:pt>
              </c:strCache>
            </c:strRef>
          </c:cat>
          <c:val>
            <c:numRef>
              <c:f>'pivot table'!$X$10:$X$16</c:f>
              <c:numCache>
                <c:formatCode>_(* #,##0_);_(* \(#,##0\);_(* "-"??_);_(@_)</c:formatCode>
                <c:ptCount val="6"/>
                <c:pt idx="0">
                  <c:v>150806</c:v>
                </c:pt>
                <c:pt idx="1">
                  <c:v>22000</c:v>
                </c:pt>
                <c:pt idx="2">
                  <c:v>810298.31544000003</c:v>
                </c:pt>
                <c:pt idx="3">
                  <c:v>10451</c:v>
                </c:pt>
                <c:pt idx="4">
                  <c:v>9300</c:v>
                </c:pt>
                <c:pt idx="5">
                  <c:v>251234</c:v>
                </c:pt>
              </c:numCache>
            </c:numRef>
          </c:val>
          <c:extLst>
            <c:ext xmlns:c16="http://schemas.microsoft.com/office/drawing/2014/chart" uri="{C3380CC4-5D6E-409C-BE32-E72D297353CC}">
              <c16:uniqueId val="{00000000-BE5B-4954-A56C-0F25D1C17BAF}"/>
            </c:ext>
          </c:extLst>
        </c:ser>
        <c:dLbls>
          <c:dLblPos val="outEnd"/>
          <c:showLegendKey val="0"/>
          <c:showVal val="1"/>
          <c:showCatName val="0"/>
          <c:showSerName val="0"/>
          <c:showPercent val="0"/>
          <c:showBubbleSize val="0"/>
        </c:dLbls>
        <c:gapWidth val="219"/>
        <c:overlap val="-27"/>
        <c:axId val="128010095"/>
        <c:axId val="128035535"/>
      </c:barChart>
      <c:catAx>
        <c:axId val="1280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crossAx val="128035535"/>
        <c:crosses val="autoZero"/>
        <c:auto val="1"/>
        <c:lblAlgn val="ctr"/>
        <c:lblOffset val="100"/>
        <c:noMultiLvlLbl val="0"/>
      </c:catAx>
      <c:valAx>
        <c:axId val="128035535"/>
        <c:scaling>
          <c:orientation val="minMax"/>
        </c:scaling>
        <c:delete val="1"/>
        <c:axPos val="l"/>
        <c:numFmt formatCode="_(* #,##0_);_(* \(#,##0\);_(* &quot;-&quot;??_);_(@_)" sourceLinked="1"/>
        <c:majorTickMark val="none"/>
        <c:minorTickMark val="none"/>
        <c:tickLblPos val="nextTo"/>
        <c:crossAx val="12801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solidFill>
            <a:srgbClr val="FFFFF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Kirlos Hazem.xlsx]pivot table!PivotTable5</c:name>
    <c:fmtId val="2"/>
  </c:pivotSource>
  <c:chart>
    <c:title>
      <c:tx>
        <c:rich>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r>
              <a:rPr lang="en-US" sz="1600" b="1">
                <a:solidFill>
                  <a:srgbClr val="BF0426"/>
                </a:solidFill>
              </a:rPr>
              <a:t>Number of products sold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36036036036036E-2"/>
          <c:y val="0.25334890965732088"/>
          <c:w val="0.93393393393393398"/>
          <c:h val="0.5164465131110948"/>
        </c:manualLayout>
      </c:layout>
      <c:barChart>
        <c:barDir val="col"/>
        <c:grouping val="clustered"/>
        <c:varyColors val="0"/>
        <c:ser>
          <c:idx val="0"/>
          <c:order val="0"/>
          <c:tx>
            <c:strRef>
              <c:f>'pivot table'!$AF$10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table'!$AE$11:$AE$19</c:f>
              <c:strCache>
                <c:ptCount val="8"/>
                <c:pt idx="0">
                  <c:v>السويس</c:v>
                </c:pt>
                <c:pt idx="1">
                  <c:v>اوسكار ريتن </c:v>
                </c:pt>
                <c:pt idx="2">
                  <c:v>تاكى</c:v>
                </c:pt>
                <c:pt idx="3">
                  <c:v>شيك هومز </c:v>
                </c:pt>
                <c:pt idx="4">
                  <c:v>فيس بوك</c:v>
                </c:pt>
                <c:pt idx="5">
                  <c:v>كيمت </c:v>
                </c:pt>
                <c:pt idx="6">
                  <c:v>منزلى</c:v>
                </c:pt>
                <c:pt idx="7">
                  <c:v>هومزمارت</c:v>
                </c:pt>
              </c:strCache>
            </c:strRef>
          </c:cat>
          <c:val>
            <c:numRef>
              <c:f>'pivot table'!$AF$11:$AF$19</c:f>
              <c:numCache>
                <c:formatCode>General</c:formatCode>
                <c:ptCount val="8"/>
                <c:pt idx="0">
                  <c:v>4</c:v>
                </c:pt>
                <c:pt idx="1">
                  <c:v>10</c:v>
                </c:pt>
                <c:pt idx="2">
                  <c:v>7</c:v>
                </c:pt>
                <c:pt idx="3">
                  <c:v>15</c:v>
                </c:pt>
                <c:pt idx="4">
                  <c:v>3</c:v>
                </c:pt>
                <c:pt idx="5">
                  <c:v>1</c:v>
                </c:pt>
                <c:pt idx="6">
                  <c:v>2</c:v>
                </c:pt>
                <c:pt idx="7">
                  <c:v>78</c:v>
                </c:pt>
              </c:numCache>
            </c:numRef>
          </c:val>
          <c:extLst>
            <c:ext xmlns:c16="http://schemas.microsoft.com/office/drawing/2014/chart" uri="{C3380CC4-5D6E-409C-BE32-E72D297353CC}">
              <c16:uniqueId val="{00000000-B4CB-44D2-8793-D29725E11D42}"/>
            </c:ext>
          </c:extLst>
        </c:ser>
        <c:dLbls>
          <c:dLblPos val="outEnd"/>
          <c:showLegendKey val="0"/>
          <c:showVal val="1"/>
          <c:showCatName val="0"/>
          <c:showSerName val="0"/>
          <c:showPercent val="0"/>
          <c:showBubbleSize val="0"/>
        </c:dLbls>
        <c:gapWidth val="219"/>
        <c:overlap val="-27"/>
        <c:axId val="127995215"/>
        <c:axId val="128001455"/>
      </c:barChart>
      <c:catAx>
        <c:axId val="1279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crossAx val="128001455"/>
        <c:crosses val="autoZero"/>
        <c:auto val="1"/>
        <c:lblAlgn val="ctr"/>
        <c:lblOffset val="100"/>
        <c:noMultiLvlLbl val="0"/>
      </c:catAx>
      <c:valAx>
        <c:axId val="128001455"/>
        <c:scaling>
          <c:orientation val="minMax"/>
        </c:scaling>
        <c:delete val="1"/>
        <c:axPos val="l"/>
        <c:numFmt formatCode="General" sourceLinked="1"/>
        <c:majorTickMark val="none"/>
        <c:minorTickMark val="none"/>
        <c:tickLblPos val="nextTo"/>
        <c:crossAx val="1279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solidFill>
            <a:srgbClr val="FFFFF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Kirlos Hazem.xlsx]pivot table!PivotTable6</c:name>
    <c:fmtId val="2"/>
  </c:pivotSource>
  <c:chart>
    <c:title>
      <c:tx>
        <c:rich>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r>
              <a:rPr lang="en-US" sz="1600" b="1">
                <a:solidFill>
                  <a:srgbClr val="BF0426"/>
                </a:solidFill>
              </a:rPr>
              <a:t>best-selling color</a:t>
            </a:r>
          </a:p>
        </c:rich>
      </c:tx>
      <c:layout>
        <c:manualLayout>
          <c:xMode val="edge"/>
          <c:yMode val="edge"/>
          <c:x val="0.15214007782101166"/>
          <c:y val="2.7777717935736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4622787536174"/>
          <c:y val="0.19895851560221639"/>
          <c:w val="0.70358368665455284"/>
          <c:h val="0.75474518810148727"/>
        </c:manualLayout>
      </c:layout>
      <c:barChart>
        <c:barDir val="bar"/>
        <c:grouping val="clustered"/>
        <c:varyColors val="0"/>
        <c:ser>
          <c:idx val="0"/>
          <c:order val="0"/>
          <c:tx>
            <c:strRef>
              <c:f>'pivot table'!$AN$10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table'!$AM$11:$AM$21</c:f>
              <c:strCache>
                <c:ptCount val="10"/>
                <c:pt idx="0">
                  <c:v>ابيض</c:v>
                </c:pt>
                <c:pt idx="1">
                  <c:v>ازرق</c:v>
                </c:pt>
                <c:pt idx="2">
                  <c:v>اسود</c:v>
                </c:pt>
                <c:pt idx="3">
                  <c:v>اسود وبنى</c:v>
                </c:pt>
                <c:pt idx="4">
                  <c:v>بنفسجى</c:v>
                </c:pt>
                <c:pt idx="5">
                  <c:v>بينك</c:v>
                </c:pt>
                <c:pt idx="6">
                  <c:v>دهبي</c:v>
                </c:pt>
                <c:pt idx="7">
                  <c:v>رمادي</c:v>
                </c:pt>
                <c:pt idx="8">
                  <c:v>ملون</c:v>
                </c:pt>
                <c:pt idx="9">
                  <c:v>نبيتى </c:v>
                </c:pt>
              </c:strCache>
            </c:strRef>
          </c:cat>
          <c:val>
            <c:numRef>
              <c:f>'pivot table'!$AN$11:$AN$21</c:f>
              <c:numCache>
                <c:formatCode>_(* #,##0_);_(* \(#,##0\);_(* "-"??_);_(@_)</c:formatCode>
                <c:ptCount val="10"/>
                <c:pt idx="0">
                  <c:v>346478</c:v>
                </c:pt>
                <c:pt idx="1">
                  <c:v>29771</c:v>
                </c:pt>
                <c:pt idx="2">
                  <c:v>681349.40999999992</c:v>
                </c:pt>
                <c:pt idx="3">
                  <c:v>6250</c:v>
                </c:pt>
                <c:pt idx="4">
                  <c:v>25244</c:v>
                </c:pt>
                <c:pt idx="5">
                  <c:v>25798</c:v>
                </c:pt>
                <c:pt idx="6">
                  <c:v>15528</c:v>
                </c:pt>
                <c:pt idx="7">
                  <c:v>109991</c:v>
                </c:pt>
                <c:pt idx="8">
                  <c:v>8544.9054400000005</c:v>
                </c:pt>
                <c:pt idx="9">
                  <c:v>5135</c:v>
                </c:pt>
              </c:numCache>
            </c:numRef>
          </c:val>
          <c:extLst>
            <c:ext xmlns:c16="http://schemas.microsoft.com/office/drawing/2014/chart" uri="{C3380CC4-5D6E-409C-BE32-E72D297353CC}">
              <c16:uniqueId val="{00000000-6610-4F9E-B5CA-7A4FF2A2E2E6}"/>
            </c:ext>
          </c:extLst>
        </c:ser>
        <c:dLbls>
          <c:dLblPos val="outEnd"/>
          <c:showLegendKey val="0"/>
          <c:showVal val="1"/>
          <c:showCatName val="0"/>
          <c:showSerName val="0"/>
          <c:showPercent val="0"/>
          <c:showBubbleSize val="0"/>
        </c:dLbls>
        <c:gapWidth val="182"/>
        <c:axId val="128031215"/>
        <c:axId val="128031695"/>
      </c:barChart>
      <c:catAx>
        <c:axId val="12803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crossAx val="128031695"/>
        <c:crosses val="autoZero"/>
        <c:auto val="1"/>
        <c:lblAlgn val="ctr"/>
        <c:lblOffset val="100"/>
        <c:noMultiLvlLbl val="0"/>
      </c:catAx>
      <c:valAx>
        <c:axId val="128031695"/>
        <c:scaling>
          <c:orientation val="minMax"/>
        </c:scaling>
        <c:delete val="1"/>
        <c:axPos val="b"/>
        <c:numFmt formatCode="_(* #,##0_);_(* \(#,##0\);_(* &quot;-&quot;??_);_(@_)" sourceLinked="1"/>
        <c:majorTickMark val="none"/>
        <c:minorTickMark val="none"/>
        <c:tickLblPos val="nextTo"/>
        <c:crossAx val="12803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solidFill>
            <a:srgbClr val="FFFFF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Kirlos Hazem.xlsx]pivot table!PivotTable7</c:name>
    <c:fmtId val="5"/>
  </c:pivotSource>
  <c:chart>
    <c:title>
      <c:tx>
        <c:rich>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r>
              <a:rPr lang="en-US" sz="2000" b="1">
                <a:solidFill>
                  <a:srgbClr val="BF0426"/>
                </a:solidFill>
              </a:rPr>
              <a:t>best-selling city</a:t>
            </a:r>
          </a:p>
        </c:rich>
      </c:tx>
      <c:layout>
        <c:manualLayout>
          <c:xMode val="edge"/>
          <c:yMode val="edge"/>
          <c:x val="0.13730263212366592"/>
          <c:y val="2.2522522522522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table'!$AV$10</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E-4819-9772-7D539D265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E-4819-9772-7D539D2653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E-4819-9772-7D539D2653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EE-4819-9772-7D539D2653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EE-4819-9772-7D539D265341}"/>
              </c:ext>
            </c:extLst>
          </c:dPt>
          <c:dLbls>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table'!$AU$11:$AU$16</c:f>
              <c:strCache>
                <c:ptCount val="5"/>
                <c:pt idx="0">
                  <c:v>٦ اكتوبر الجيزه </c:v>
                </c:pt>
                <c:pt idx="1">
                  <c:v>القاهره الجديده</c:v>
                </c:pt>
                <c:pt idx="2">
                  <c:v>مخزن شيك هومز</c:v>
                </c:pt>
                <c:pt idx="3">
                  <c:v>العباسيه</c:v>
                </c:pt>
                <c:pt idx="4">
                  <c:v>المعادى</c:v>
                </c:pt>
              </c:strCache>
            </c:strRef>
          </c:cat>
          <c:val>
            <c:numRef>
              <c:f>'pivot table'!$AV$11:$AV$16</c:f>
              <c:numCache>
                <c:formatCode>_(* #,##0_);_(* \(#,##0\);_(* "-"??_);_(@_)</c:formatCode>
                <c:ptCount val="5"/>
                <c:pt idx="0">
                  <c:v>198377.5</c:v>
                </c:pt>
                <c:pt idx="1">
                  <c:v>158284</c:v>
                </c:pt>
                <c:pt idx="2">
                  <c:v>91171</c:v>
                </c:pt>
                <c:pt idx="3">
                  <c:v>79593</c:v>
                </c:pt>
                <c:pt idx="4">
                  <c:v>69891</c:v>
                </c:pt>
              </c:numCache>
            </c:numRef>
          </c:val>
          <c:extLst>
            <c:ext xmlns:c16="http://schemas.microsoft.com/office/drawing/2014/chart" uri="{C3380CC4-5D6E-409C-BE32-E72D297353CC}">
              <c16:uniqueId val="{0000000A-39EE-4819-9772-7D539D26534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5108429069317164"/>
          <c:y val="0.2462584237781088"/>
          <c:w val="0.34891570930682847"/>
          <c:h val="0.6250053202809108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solidFill>
            <a:srgbClr val="FFFFF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Kirlos Hazem.xlsx]pivot table!PivotTable10</c:name>
    <c:fmtId val="10"/>
  </c:pivotSource>
  <c:chart>
    <c:title>
      <c:tx>
        <c:rich>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r>
              <a:rPr lang="en-US" sz="1800" b="1" i="0" u="none" strike="noStrike" baseline="0">
                <a:solidFill>
                  <a:srgbClr val="BF0426"/>
                </a:solidFill>
              </a:rPr>
              <a:t>Cancel%</a:t>
            </a:r>
            <a:endParaRPr lang="en-US" sz="1800" b="1">
              <a:solidFill>
                <a:srgbClr val="BF042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0008429603235"/>
          <c:y val="0.15782407407407409"/>
          <c:w val="0.64787631473073171"/>
          <c:h val="0.77736111111111106"/>
        </c:manualLayout>
      </c:layout>
      <c:barChart>
        <c:barDir val="bar"/>
        <c:grouping val="clustered"/>
        <c:varyColors val="0"/>
        <c:ser>
          <c:idx val="0"/>
          <c:order val="0"/>
          <c:tx>
            <c:strRef>
              <c:f>'pivot table'!$BU$8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table'!$BT$9:$BT$14</c:f>
              <c:strCache>
                <c:ptCount val="5"/>
                <c:pt idx="0">
                  <c:v>تم التسليم</c:v>
                </c:pt>
                <c:pt idx="1">
                  <c:v>فشل التسليم</c:v>
                </c:pt>
                <c:pt idx="2">
                  <c:v>لاغى</c:v>
                </c:pt>
                <c:pt idx="3">
                  <c:v>مرتجع</c:v>
                </c:pt>
                <c:pt idx="4">
                  <c:v>مرفوض </c:v>
                </c:pt>
              </c:strCache>
            </c:strRef>
          </c:cat>
          <c:val>
            <c:numRef>
              <c:f>'pivot table'!$BU$9:$BU$14</c:f>
              <c:numCache>
                <c:formatCode>0.00%</c:formatCode>
                <c:ptCount val="5"/>
                <c:pt idx="0">
                  <c:v>0.81666666666666665</c:v>
                </c:pt>
                <c:pt idx="1">
                  <c:v>2.5000000000000001E-2</c:v>
                </c:pt>
                <c:pt idx="2">
                  <c:v>0.14166666666666666</c:v>
                </c:pt>
                <c:pt idx="3">
                  <c:v>8.3333333333333332E-3</c:v>
                </c:pt>
                <c:pt idx="4">
                  <c:v>8.3333333333333332E-3</c:v>
                </c:pt>
              </c:numCache>
            </c:numRef>
          </c:val>
          <c:extLst>
            <c:ext xmlns:c16="http://schemas.microsoft.com/office/drawing/2014/chart" uri="{C3380CC4-5D6E-409C-BE32-E72D297353CC}">
              <c16:uniqueId val="{00000000-FD18-4A04-8913-80035DD2EA57}"/>
            </c:ext>
          </c:extLst>
        </c:ser>
        <c:dLbls>
          <c:dLblPos val="outEnd"/>
          <c:showLegendKey val="0"/>
          <c:showVal val="1"/>
          <c:showCatName val="0"/>
          <c:showSerName val="0"/>
          <c:showPercent val="0"/>
          <c:showBubbleSize val="0"/>
        </c:dLbls>
        <c:gapWidth val="182"/>
        <c:axId val="362123999"/>
        <c:axId val="362126879"/>
      </c:barChart>
      <c:catAx>
        <c:axId val="36212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B"/>
                </a:solidFill>
                <a:latin typeface="+mn-lt"/>
                <a:ea typeface="+mn-ea"/>
                <a:cs typeface="+mn-cs"/>
              </a:defRPr>
            </a:pPr>
            <a:endParaRPr lang="en-US"/>
          </a:p>
        </c:txPr>
        <c:crossAx val="362126879"/>
        <c:crosses val="autoZero"/>
        <c:auto val="1"/>
        <c:lblAlgn val="ctr"/>
        <c:lblOffset val="100"/>
        <c:noMultiLvlLbl val="0"/>
      </c:catAx>
      <c:valAx>
        <c:axId val="362126879"/>
        <c:scaling>
          <c:orientation val="minMax"/>
        </c:scaling>
        <c:delete val="1"/>
        <c:axPos val="b"/>
        <c:numFmt formatCode="0.00%" sourceLinked="1"/>
        <c:majorTickMark val="none"/>
        <c:minorTickMark val="none"/>
        <c:tickLblPos val="nextTo"/>
        <c:crossAx val="36212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a:solidFill>
            <a:srgbClr val="FFFFF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1575;&#1604;&#1576;&#1610;&#1575;&#1606;&#1575;&#1578;!A1"/><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3</xdr:col>
      <xdr:colOff>38100</xdr:colOff>
      <xdr:row>28</xdr:row>
      <xdr:rowOff>121920</xdr:rowOff>
    </xdr:to>
    <xdr:sp macro="" textlink="">
      <xdr:nvSpPr>
        <xdr:cNvPr id="2" name="Rectangle: Rounded Corners 1">
          <a:extLst>
            <a:ext uri="{FF2B5EF4-FFF2-40B4-BE49-F238E27FC236}">
              <a16:creationId xmlns:a16="http://schemas.microsoft.com/office/drawing/2014/main" id="{444FB981-6767-528D-91EE-BAB3A403C45E}"/>
            </a:ext>
          </a:extLst>
        </xdr:cNvPr>
        <xdr:cNvSpPr/>
      </xdr:nvSpPr>
      <xdr:spPr>
        <a:xfrm>
          <a:off x="0" y="22860"/>
          <a:ext cx="1866900" cy="521970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76200</xdr:colOff>
      <xdr:row>0</xdr:row>
      <xdr:rowOff>22860</xdr:rowOff>
    </xdr:from>
    <xdr:to>
      <xdr:col>23</xdr:col>
      <xdr:colOff>220980</xdr:colOff>
      <xdr:row>3</xdr:row>
      <xdr:rowOff>175260</xdr:rowOff>
    </xdr:to>
    <xdr:sp macro="" textlink="">
      <xdr:nvSpPr>
        <xdr:cNvPr id="3" name="Rectangle: Rounded Corners 2">
          <a:extLst>
            <a:ext uri="{FF2B5EF4-FFF2-40B4-BE49-F238E27FC236}">
              <a16:creationId xmlns:a16="http://schemas.microsoft.com/office/drawing/2014/main" id="{DDF936BF-B859-5C89-AAF2-1CA472A746C1}"/>
            </a:ext>
          </a:extLst>
        </xdr:cNvPr>
        <xdr:cNvSpPr/>
      </xdr:nvSpPr>
      <xdr:spPr>
        <a:xfrm>
          <a:off x="1905000" y="22860"/>
          <a:ext cx="12336780" cy="70104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112258</xdr:colOff>
      <xdr:row>4</xdr:row>
      <xdr:rowOff>22860</xdr:rowOff>
    </xdr:from>
    <xdr:to>
      <xdr:col>7</xdr:col>
      <xdr:colOff>85862</xdr:colOff>
      <xdr:row>11</xdr:row>
      <xdr:rowOff>144780</xdr:rowOff>
    </xdr:to>
    <xdr:sp macro="" textlink="">
      <xdr:nvSpPr>
        <xdr:cNvPr id="4" name="Rectangle: Rounded Corners 3">
          <a:extLst>
            <a:ext uri="{FF2B5EF4-FFF2-40B4-BE49-F238E27FC236}">
              <a16:creationId xmlns:a16="http://schemas.microsoft.com/office/drawing/2014/main" id="{36205FAF-4F47-702C-3852-ACE0D5D5DD5F}"/>
            </a:ext>
          </a:extLst>
        </xdr:cNvPr>
        <xdr:cNvSpPr/>
      </xdr:nvSpPr>
      <xdr:spPr>
        <a:xfrm>
          <a:off x="1941058" y="754380"/>
          <a:ext cx="2412004" cy="140208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103243</xdr:colOff>
      <xdr:row>4</xdr:row>
      <xdr:rowOff>15240</xdr:rowOff>
    </xdr:from>
    <xdr:to>
      <xdr:col>11</xdr:col>
      <xdr:colOff>76847</xdr:colOff>
      <xdr:row>11</xdr:row>
      <xdr:rowOff>167640</xdr:rowOff>
    </xdr:to>
    <xdr:sp macro="" textlink="">
      <xdr:nvSpPr>
        <xdr:cNvPr id="9" name="Rectangle: Rounded Corners 8">
          <a:extLst>
            <a:ext uri="{FF2B5EF4-FFF2-40B4-BE49-F238E27FC236}">
              <a16:creationId xmlns:a16="http://schemas.microsoft.com/office/drawing/2014/main" id="{92293239-717B-4769-B126-CDBDA530FA01}"/>
            </a:ext>
          </a:extLst>
        </xdr:cNvPr>
        <xdr:cNvSpPr/>
      </xdr:nvSpPr>
      <xdr:spPr>
        <a:xfrm>
          <a:off x="4370443" y="746760"/>
          <a:ext cx="2412004" cy="143256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139949</xdr:colOff>
      <xdr:row>4</xdr:row>
      <xdr:rowOff>22860</xdr:rowOff>
    </xdr:from>
    <xdr:to>
      <xdr:col>15</xdr:col>
      <xdr:colOff>113553</xdr:colOff>
      <xdr:row>11</xdr:row>
      <xdr:rowOff>144780</xdr:rowOff>
    </xdr:to>
    <xdr:sp macro="" textlink="">
      <xdr:nvSpPr>
        <xdr:cNvPr id="11" name="Rectangle: Rounded Corners 10">
          <a:extLst>
            <a:ext uri="{FF2B5EF4-FFF2-40B4-BE49-F238E27FC236}">
              <a16:creationId xmlns:a16="http://schemas.microsoft.com/office/drawing/2014/main" id="{DDEA00DA-50C4-473E-B6C8-4F94A52A6574}"/>
            </a:ext>
          </a:extLst>
        </xdr:cNvPr>
        <xdr:cNvSpPr/>
      </xdr:nvSpPr>
      <xdr:spPr>
        <a:xfrm>
          <a:off x="6845549" y="754380"/>
          <a:ext cx="2412004" cy="140208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130935</xdr:colOff>
      <xdr:row>4</xdr:row>
      <xdr:rowOff>53340</xdr:rowOff>
    </xdr:from>
    <xdr:to>
      <xdr:col>19</xdr:col>
      <xdr:colOff>104539</xdr:colOff>
      <xdr:row>11</xdr:row>
      <xdr:rowOff>144780</xdr:rowOff>
    </xdr:to>
    <xdr:sp macro="" textlink="">
      <xdr:nvSpPr>
        <xdr:cNvPr id="12" name="Rectangle: Rounded Corners 11">
          <a:extLst>
            <a:ext uri="{FF2B5EF4-FFF2-40B4-BE49-F238E27FC236}">
              <a16:creationId xmlns:a16="http://schemas.microsoft.com/office/drawing/2014/main" id="{2F14296B-1166-420A-8E71-FAE6831BC18A}"/>
            </a:ext>
          </a:extLst>
        </xdr:cNvPr>
        <xdr:cNvSpPr/>
      </xdr:nvSpPr>
      <xdr:spPr>
        <a:xfrm>
          <a:off x="9274935" y="784860"/>
          <a:ext cx="2412004" cy="137160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114300</xdr:colOff>
      <xdr:row>4</xdr:row>
      <xdr:rowOff>76200</xdr:rowOff>
    </xdr:from>
    <xdr:to>
      <xdr:col>22</xdr:col>
      <xdr:colOff>594360</xdr:colOff>
      <xdr:row>11</xdr:row>
      <xdr:rowOff>99060</xdr:rowOff>
    </xdr:to>
    <xdr:sp macro="" textlink="">
      <xdr:nvSpPr>
        <xdr:cNvPr id="14" name="Rectangle: Rounded Corners 13">
          <a:extLst>
            <a:ext uri="{FF2B5EF4-FFF2-40B4-BE49-F238E27FC236}">
              <a16:creationId xmlns:a16="http://schemas.microsoft.com/office/drawing/2014/main" id="{1782D046-BE0A-4DA8-B86D-4A164DD835F5}"/>
            </a:ext>
          </a:extLst>
        </xdr:cNvPr>
        <xdr:cNvSpPr/>
      </xdr:nvSpPr>
      <xdr:spPr>
        <a:xfrm>
          <a:off x="11696700" y="807720"/>
          <a:ext cx="2308860" cy="130302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91440</xdr:colOff>
      <xdr:row>11</xdr:row>
      <xdr:rowOff>179070</xdr:rowOff>
    </xdr:from>
    <xdr:to>
      <xdr:col>10</xdr:col>
      <xdr:colOff>213360</xdr:colOff>
      <xdr:row>19</xdr:row>
      <xdr:rowOff>60960</xdr:rowOff>
    </xdr:to>
    <xdr:sp macro="" textlink="">
      <xdr:nvSpPr>
        <xdr:cNvPr id="16" name="Rectangle: Rounded Corners 15">
          <a:extLst>
            <a:ext uri="{FF2B5EF4-FFF2-40B4-BE49-F238E27FC236}">
              <a16:creationId xmlns:a16="http://schemas.microsoft.com/office/drawing/2014/main" id="{C5870F85-5F29-694E-737A-F18C14A1F4EC}"/>
            </a:ext>
          </a:extLst>
        </xdr:cNvPr>
        <xdr:cNvSpPr/>
      </xdr:nvSpPr>
      <xdr:spPr>
        <a:xfrm>
          <a:off x="1920240" y="2190750"/>
          <a:ext cx="4389120" cy="134493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60960</xdr:colOff>
      <xdr:row>19</xdr:row>
      <xdr:rowOff>87630</xdr:rowOff>
    </xdr:from>
    <xdr:to>
      <xdr:col>10</xdr:col>
      <xdr:colOff>236220</xdr:colOff>
      <xdr:row>28</xdr:row>
      <xdr:rowOff>99060</xdr:rowOff>
    </xdr:to>
    <xdr:sp macro="" textlink="">
      <xdr:nvSpPr>
        <xdr:cNvPr id="17" name="Rectangle: Rounded Corners 16">
          <a:extLst>
            <a:ext uri="{FF2B5EF4-FFF2-40B4-BE49-F238E27FC236}">
              <a16:creationId xmlns:a16="http://schemas.microsoft.com/office/drawing/2014/main" id="{262E513F-3298-4339-A447-CE91A2622707}"/>
            </a:ext>
          </a:extLst>
        </xdr:cNvPr>
        <xdr:cNvSpPr/>
      </xdr:nvSpPr>
      <xdr:spPr>
        <a:xfrm>
          <a:off x="1889760" y="3562350"/>
          <a:ext cx="4442460" cy="165735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320040</xdr:colOff>
      <xdr:row>11</xdr:row>
      <xdr:rowOff>163830</xdr:rowOff>
    </xdr:from>
    <xdr:to>
      <xdr:col>14</xdr:col>
      <xdr:colOff>274320</xdr:colOff>
      <xdr:row>28</xdr:row>
      <xdr:rowOff>125730</xdr:rowOff>
    </xdr:to>
    <xdr:sp macro="" textlink="">
      <xdr:nvSpPr>
        <xdr:cNvPr id="18" name="Rectangle: Rounded Corners 17">
          <a:extLst>
            <a:ext uri="{FF2B5EF4-FFF2-40B4-BE49-F238E27FC236}">
              <a16:creationId xmlns:a16="http://schemas.microsoft.com/office/drawing/2014/main" id="{6DC8189D-DEEE-4706-8BC7-19E5962F6FA7}"/>
            </a:ext>
          </a:extLst>
        </xdr:cNvPr>
        <xdr:cNvSpPr/>
      </xdr:nvSpPr>
      <xdr:spPr>
        <a:xfrm>
          <a:off x="6416040" y="2175510"/>
          <a:ext cx="2392680" cy="307086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358140</xdr:colOff>
      <xdr:row>11</xdr:row>
      <xdr:rowOff>167640</xdr:rowOff>
    </xdr:from>
    <xdr:to>
      <xdr:col>18</xdr:col>
      <xdr:colOff>586740</xdr:colOff>
      <xdr:row>28</xdr:row>
      <xdr:rowOff>121920</xdr:rowOff>
    </xdr:to>
    <xdr:sp macro="" textlink="">
      <xdr:nvSpPr>
        <xdr:cNvPr id="19" name="Rectangle: Rounded Corners 18">
          <a:extLst>
            <a:ext uri="{FF2B5EF4-FFF2-40B4-BE49-F238E27FC236}">
              <a16:creationId xmlns:a16="http://schemas.microsoft.com/office/drawing/2014/main" id="{80344A5B-C44D-47F4-A14B-5781FD112C1E}"/>
            </a:ext>
          </a:extLst>
        </xdr:cNvPr>
        <xdr:cNvSpPr/>
      </xdr:nvSpPr>
      <xdr:spPr>
        <a:xfrm>
          <a:off x="8892540" y="2179320"/>
          <a:ext cx="2667000" cy="306324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464821</xdr:colOff>
      <xdr:row>0</xdr:row>
      <xdr:rowOff>45721</xdr:rowOff>
    </xdr:from>
    <xdr:to>
      <xdr:col>21</xdr:col>
      <xdr:colOff>45720</xdr:colOff>
      <xdr:row>3</xdr:row>
      <xdr:rowOff>129540</xdr:rowOff>
    </xdr:to>
    <xdr:pic>
      <xdr:nvPicPr>
        <xdr:cNvPr id="24" name="Picture 23">
          <a:extLst>
            <a:ext uri="{FF2B5EF4-FFF2-40B4-BE49-F238E27FC236}">
              <a16:creationId xmlns:a16="http://schemas.microsoft.com/office/drawing/2014/main" id="{53489FCF-DC45-C23D-B75B-9E5A5952C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7621" y="45721"/>
          <a:ext cx="1409699" cy="63245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7</xdr:col>
      <xdr:colOff>487680</xdr:colOff>
      <xdr:row>0</xdr:row>
      <xdr:rowOff>53340</xdr:rowOff>
    </xdr:from>
    <xdr:to>
      <xdr:col>17</xdr:col>
      <xdr:colOff>312420</xdr:colOff>
      <xdr:row>3</xdr:row>
      <xdr:rowOff>76200</xdr:rowOff>
    </xdr:to>
    <xdr:sp macro="" textlink="">
      <xdr:nvSpPr>
        <xdr:cNvPr id="69" name="TextBox 68">
          <a:extLst>
            <a:ext uri="{FF2B5EF4-FFF2-40B4-BE49-F238E27FC236}">
              <a16:creationId xmlns:a16="http://schemas.microsoft.com/office/drawing/2014/main" id="{973207C5-A277-EC89-149E-7F79C6AE71A2}"/>
            </a:ext>
          </a:extLst>
        </xdr:cNvPr>
        <xdr:cNvSpPr txBox="1"/>
      </xdr:nvSpPr>
      <xdr:spPr>
        <a:xfrm>
          <a:off x="4754880" y="53340"/>
          <a:ext cx="5920740" cy="57150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rgbClr val="BF0426"/>
              </a:solidFill>
            </a:rPr>
            <a:t>Sales DashBoard</a:t>
          </a:r>
        </a:p>
      </xdr:txBody>
    </xdr:sp>
    <xdr:clientData/>
  </xdr:twoCellAnchor>
  <xdr:twoCellAnchor>
    <xdr:from>
      <xdr:col>19</xdr:col>
      <xdr:colOff>60960</xdr:colOff>
      <xdr:row>11</xdr:row>
      <xdr:rowOff>171450</xdr:rowOff>
    </xdr:from>
    <xdr:to>
      <xdr:col>23</xdr:col>
      <xdr:colOff>129540</xdr:colOff>
      <xdr:row>28</xdr:row>
      <xdr:rowOff>118110</xdr:rowOff>
    </xdr:to>
    <xdr:sp macro="" textlink="">
      <xdr:nvSpPr>
        <xdr:cNvPr id="71" name="Rectangle: Rounded Corners 70">
          <a:extLst>
            <a:ext uri="{FF2B5EF4-FFF2-40B4-BE49-F238E27FC236}">
              <a16:creationId xmlns:a16="http://schemas.microsoft.com/office/drawing/2014/main" id="{387BEA85-E2CE-495E-B232-EA6AC43F81BD}"/>
            </a:ext>
          </a:extLst>
        </xdr:cNvPr>
        <xdr:cNvSpPr/>
      </xdr:nvSpPr>
      <xdr:spPr>
        <a:xfrm>
          <a:off x="11643360" y="2183130"/>
          <a:ext cx="2506980" cy="305562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335280</xdr:colOff>
      <xdr:row>4</xdr:row>
      <xdr:rowOff>137160</xdr:rowOff>
    </xdr:from>
    <xdr:to>
      <xdr:col>6</xdr:col>
      <xdr:colOff>411480</xdr:colOff>
      <xdr:row>7</xdr:row>
      <xdr:rowOff>38100</xdr:rowOff>
    </xdr:to>
    <xdr:sp macro="" textlink="">
      <xdr:nvSpPr>
        <xdr:cNvPr id="72" name="TextBox 71">
          <a:extLst>
            <a:ext uri="{FF2B5EF4-FFF2-40B4-BE49-F238E27FC236}">
              <a16:creationId xmlns:a16="http://schemas.microsoft.com/office/drawing/2014/main" id="{99462780-215B-968A-9A64-F4C65F7E971E}"/>
            </a:ext>
          </a:extLst>
        </xdr:cNvPr>
        <xdr:cNvSpPr txBox="1"/>
      </xdr:nvSpPr>
      <xdr:spPr>
        <a:xfrm>
          <a:off x="2164080" y="868680"/>
          <a:ext cx="1905000" cy="44958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FFFB"/>
              </a:solidFill>
            </a:rPr>
            <a:t>Total Sales</a:t>
          </a:r>
        </a:p>
      </xdr:txBody>
    </xdr:sp>
    <xdr:clientData/>
  </xdr:twoCellAnchor>
  <xdr:twoCellAnchor>
    <xdr:from>
      <xdr:col>3</xdr:col>
      <xdr:colOff>358140</xdr:colOff>
      <xdr:row>6</xdr:row>
      <xdr:rowOff>167640</xdr:rowOff>
    </xdr:from>
    <xdr:to>
      <xdr:col>6</xdr:col>
      <xdr:colOff>320040</xdr:colOff>
      <xdr:row>10</xdr:row>
      <xdr:rowOff>160020</xdr:rowOff>
    </xdr:to>
    <xdr:sp macro="" textlink="'pivot table'!C12">
      <xdr:nvSpPr>
        <xdr:cNvPr id="74" name="TextBox 73">
          <a:extLst>
            <a:ext uri="{FF2B5EF4-FFF2-40B4-BE49-F238E27FC236}">
              <a16:creationId xmlns:a16="http://schemas.microsoft.com/office/drawing/2014/main" id="{1DAFB915-DE64-9A1E-451A-9A0739FA2326}"/>
            </a:ext>
          </a:extLst>
        </xdr:cNvPr>
        <xdr:cNvSpPr txBox="1"/>
      </xdr:nvSpPr>
      <xdr:spPr>
        <a:xfrm>
          <a:off x="2186940" y="1264920"/>
          <a:ext cx="1790700" cy="72390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5E10AA-80D9-4D60-985F-A312946F5810}" type="TxLink">
            <a:rPr lang="en-US" sz="2800" b="1" i="0" u="none" strike="noStrike">
              <a:solidFill>
                <a:srgbClr val="BF0426"/>
              </a:solidFill>
              <a:latin typeface="Calibri"/>
              <a:ea typeface="Calibri"/>
              <a:cs typeface="Calibri"/>
            </a:rPr>
            <a:pPr algn="ctr"/>
            <a:t> 1,004,662 </a:t>
          </a:fld>
          <a:endParaRPr lang="en-US" sz="6600" b="1" i="0">
            <a:solidFill>
              <a:srgbClr val="BF0426"/>
            </a:solidFill>
          </a:endParaRPr>
        </a:p>
      </xdr:txBody>
    </xdr:sp>
    <xdr:clientData/>
  </xdr:twoCellAnchor>
  <xdr:twoCellAnchor>
    <xdr:from>
      <xdr:col>7</xdr:col>
      <xdr:colOff>141342</xdr:colOff>
      <xdr:row>4</xdr:row>
      <xdr:rowOff>144780</xdr:rowOff>
    </xdr:from>
    <xdr:to>
      <xdr:col>11</xdr:col>
      <xdr:colOff>53340</xdr:colOff>
      <xdr:row>7</xdr:row>
      <xdr:rowOff>144780</xdr:rowOff>
    </xdr:to>
    <xdr:sp macro="" textlink="">
      <xdr:nvSpPr>
        <xdr:cNvPr id="75" name="TextBox 74">
          <a:extLst>
            <a:ext uri="{FF2B5EF4-FFF2-40B4-BE49-F238E27FC236}">
              <a16:creationId xmlns:a16="http://schemas.microsoft.com/office/drawing/2014/main" id="{F92324BF-92E2-46EE-B856-1108A9F553C9}"/>
            </a:ext>
          </a:extLst>
        </xdr:cNvPr>
        <xdr:cNvSpPr txBox="1"/>
      </xdr:nvSpPr>
      <xdr:spPr>
        <a:xfrm>
          <a:off x="4408542" y="876300"/>
          <a:ext cx="2350398" cy="54864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FFFB"/>
              </a:solidFill>
            </a:rPr>
            <a:t>Total</a:t>
          </a:r>
          <a:r>
            <a:rPr lang="en-US" sz="2400" b="1" baseline="0">
              <a:solidFill>
                <a:srgbClr val="FFFFFB"/>
              </a:solidFill>
            </a:rPr>
            <a:t> of orders</a:t>
          </a:r>
          <a:endParaRPr lang="en-US" sz="2400" b="1">
            <a:solidFill>
              <a:srgbClr val="FFFFFB"/>
            </a:solidFill>
          </a:endParaRPr>
        </a:p>
      </xdr:txBody>
    </xdr:sp>
    <xdr:clientData/>
  </xdr:twoCellAnchor>
  <xdr:twoCellAnchor>
    <xdr:from>
      <xdr:col>11</xdr:col>
      <xdr:colOff>198120</xdr:colOff>
      <xdr:row>4</xdr:row>
      <xdr:rowOff>129540</xdr:rowOff>
    </xdr:from>
    <xdr:to>
      <xdr:col>15</xdr:col>
      <xdr:colOff>68579</xdr:colOff>
      <xdr:row>7</xdr:row>
      <xdr:rowOff>99060</xdr:rowOff>
    </xdr:to>
    <xdr:sp macro="" textlink="">
      <xdr:nvSpPr>
        <xdr:cNvPr id="76" name="TextBox 75">
          <a:extLst>
            <a:ext uri="{FF2B5EF4-FFF2-40B4-BE49-F238E27FC236}">
              <a16:creationId xmlns:a16="http://schemas.microsoft.com/office/drawing/2014/main" id="{80C5A3BD-4E22-4C45-ABFD-3C2AA297EF00}"/>
            </a:ext>
          </a:extLst>
        </xdr:cNvPr>
        <xdr:cNvSpPr txBox="1"/>
      </xdr:nvSpPr>
      <xdr:spPr>
        <a:xfrm>
          <a:off x="6903720" y="861060"/>
          <a:ext cx="2308859" cy="51816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FFFB"/>
              </a:solidFill>
            </a:rPr>
            <a:t>AVG.Sales</a:t>
          </a:r>
        </a:p>
      </xdr:txBody>
    </xdr:sp>
    <xdr:clientData/>
  </xdr:twoCellAnchor>
  <xdr:twoCellAnchor>
    <xdr:from>
      <xdr:col>15</xdr:col>
      <xdr:colOff>190501</xdr:colOff>
      <xdr:row>4</xdr:row>
      <xdr:rowOff>137160</xdr:rowOff>
    </xdr:from>
    <xdr:to>
      <xdr:col>19</xdr:col>
      <xdr:colOff>38101</xdr:colOff>
      <xdr:row>7</xdr:row>
      <xdr:rowOff>53340</xdr:rowOff>
    </xdr:to>
    <xdr:sp macro="" textlink="">
      <xdr:nvSpPr>
        <xdr:cNvPr id="77" name="TextBox 76">
          <a:extLst>
            <a:ext uri="{FF2B5EF4-FFF2-40B4-BE49-F238E27FC236}">
              <a16:creationId xmlns:a16="http://schemas.microsoft.com/office/drawing/2014/main" id="{6DFBC5CE-A06B-4EAC-ABA2-9CCBDECC82E1}"/>
            </a:ext>
          </a:extLst>
        </xdr:cNvPr>
        <xdr:cNvSpPr txBox="1"/>
      </xdr:nvSpPr>
      <xdr:spPr>
        <a:xfrm>
          <a:off x="9334501" y="868680"/>
          <a:ext cx="2286000" cy="46482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FFFFFB"/>
              </a:solidFill>
            </a:rPr>
            <a:t>On-time %</a:t>
          </a:r>
          <a:endParaRPr lang="en-US" sz="2400" b="1">
            <a:solidFill>
              <a:srgbClr val="FFFFFB"/>
            </a:solidFill>
          </a:endParaRPr>
        </a:p>
      </xdr:txBody>
    </xdr:sp>
    <xdr:clientData/>
  </xdr:twoCellAnchor>
  <xdr:twoCellAnchor>
    <xdr:from>
      <xdr:col>19</xdr:col>
      <xdr:colOff>190500</xdr:colOff>
      <xdr:row>4</xdr:row>
      <xdr:rowOff>152400</xdr:rowOff>
    </xdr:from>
    <xdr:to>
      <xdr:col>22</xdr:col>
      <xdr:colOff>541020</xdr:colOff>
      <xdr:row>7</xdr:row>
      <xdr:rowOff>114300</xdr:rowOff>
    </xdr:to>
    <xdr:sp macro="" textlink="">
      <xdr:nvSpPr>
        <xdr:cNvPr id="78" name="TextBox 77">
          <a:extLst>
            <a:ext uri="{FF2B5EF4-FFF2-40B4-BE49-F238E27FC236}">
              <a16:creationId xmlns:a16="http://schemas.microsoft.com/office/drawing/2014/main" id="{1F896C30-D78B-46FA-851C-FD19E467D0C8}"/>
            </a:ext>
          </a:extLst>
        </xdr:cNvPr>
        <xdr:cNvSpPr txBox="1"/>
      </xdr:nvSpPr>
      <xdr:spPr>
        <a:xfrm>
          <a:off x="11772900" y="883920"/>
          <a:ext cx="2179320" cy="51054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FFFB"/>
              </a:solidFill>
            </a:rPr>
            <a:t>NTX</a:t>
          </a:r>
        </a:p>
      </xdr:txBody>
    </xdr:sp>
    <xdr:clientData/>
  </xdr:twoCellAnchor>
  <xdr:twoCellAnchor>
    <xdr:from>
      <xdr:col>11</xdr:col>
      <xdr:colOff>274320</xdr:colOff>
      <xdr:row>6</xdr:row>
      <xdr:rowOff>167640</xdr:rowOff>
    </xdr:from>
    <xdr:to>
      <xdr:col>14</xdr:col>
      <xdr:colOff>335280</xdr:colOff>
      <xdr:row>10</xdr:row>
      <xdr:rowOff>106680</xdr:rowOff>
    </xdr:to>
    <xdr:sp macro="" textlink="'pivot table'!Q10">
      <xdr:nvSpPr>
        <xdr:cNvPr id="79" name="TextBox 78">
          <a:extLst>
            <a:ext uri="{FF2B5EF4-FFF2-40B4-BE49-F238E27FC236}">
              <a16:creationId xmlns:a16="http://schemas.microsoft.com/office/drawing/2014/main" id="{31A4E2C0-9D78-024B-F4DB-F6246F942679}"/>
            </a:ext>
          </a:extLst>
        </xdr:cNvPr>
        <xdr:cNvSpPr txBox="1"/>
      </xdr:nvSpPr>
      <xdr:spPr>
        <a:xfrm>
          <a:off x="6979920" y="1264920"/>
          <a:ext cx="1889760" cy="67056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E4FC45-E303-4925-88C0-4F3BA7995973}" type="TxLink">
            <a:rPr lang="en-US" sz="3200" b="1" i="0" u="none" strike="noStrike">
              <a:solidFill>
                <a:srgbClr val="BF0426"/>
              </a:solidFill>
              <a:latin typeface="Calibri"/>
              <a:ea typeface="Calibri"/>
              <a:cs typeface="Calibri"/>
            </a:rPr>
            <a:pPr algn="ctr"/>
            <a:t> 10,252 </a:t>
          </a:fld>
          <a:endParaRPr lang="en-US" sz="3200" b="1">
            <a:solidFill>
              <a:srgbClr val="BF0426"/>
            </a:solidFill>
          </a:endParaRPr>
        </a:p>
      </xdr:txBody>
    </xdr:sp>
    <xdr:clientData/>
  </xdr:twoCellAnchor>
  <xdr:twoCellAnchor>
    <xdr:from>
      <xdr:col>15</xdr:col>
      <xdr:colOff>312420</xdr:colOff>
      <xdr:row>7</xdr:row>
      <xdr:rowOff>15240</xdr:rowOff>
    </xdr:from>
    <xdr:to>
      <xdr:col>18</xdr:col>
      <xdr:colOff>525780</xdr:colOff>
      <xdr:row>10</xdr:row>
      <xdr:rowOff>106680</xdr:rowOff>
    </xdr:to>
    <xdr:sp macro="" textlink="'pivot table'!BL11">
      <xdr:nvSpPr>
        <xdr:cNvPr id="80" name="TextBox 79">
          <a:extLst>
            <a:ext uri="{FF2B5EF4-FFF2-40B4-BE49-F238E27FC236}">
              <a16:creationId xmlns:a16="http://schemas.microsoft.com/office/drawing/2014/main" id="{4CAF62CD-1501-EB0E-A2D7-A4938D218575}"/>
            </a:ext>
          </a:extLst>
        </xdr:cNvPr>
        <xdr:cNvSpPr txBox="1"/>
      </xdr:nvSpPr>
      <xdr:spPr>
        <a:xfrm>
          <a:off x="9456420" y="1295400"/>
          <a:ext cx="2042160" cy="64008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0852B0-7D9E-480C-8945-8A7B2A4E48D7}" type="TxLink">
            <a:rPr lang="en-US" sz="3200" b="1" i="0" u="none" strike="noStrike">
              <a:solidFill>
                <a:srgbClr val="BF0426"/>
              </a:solidFill>
              <a:latin typeface="Calibri"/>
              <a:ea typeface="Calibri"/>
              <a:cs typeface="Calibri"/>
            </a:rPr>
            <a:pPr algn="ctr"/>
            <a:t>39%</a:t>
          </a:fld>
          <a:endParaRPr lang="en-US" sz="3200" b="1">
            <a:solidFill>
              <a:srgbClr val="BF0426"/>
            </a:solidFill>
          </a:endParaRPr>
        </a:p>
      </xdr:txBody>
    </xdr:sp>
    <xdr:clientData/>
  </xdr:twoCellAnchor>
  <xdr:twoCellAnchor>
    <xdr:from>
      <xdr:col>19</xdr:col>
      <xdr:colOff>403860</xdr:colOff>
      <xdr:row>6</xdr:row>
      <xdr:rowOff>129540</xdr:rowOff>
    </xdr:from>
    <xdr:to>
      <xdr:col>22</xdr:col>
      <xdr:colOff>350520</xdr:colOff>
      <xdr:row>10</xdr:row>
      <xdr:rowOff>68580</xdr:rowOff>
    </xdr:to>
    <xdr:sp macro="" textlink="'pivot table'!BE15">
      <xdr:nvSpPr>
        <xdr:cNvPr id="81" name="TextBox 80">
          <a:extLst>
            <a:ext uri="{FF2B5EF4-FFF2-40B4-BE49-F238E27FC236}">
              <a16:creationId xmlns:a16="http://schemas.microsoft.com/office/drawing/2014/main" id="{60027E74-A4FB-B143-B18F-729D3AB68A53}"/>
            </a:ext>
          </a:extLst>
        </xdr:cNvPr>
        <xdr:cNvSpPr txBox="1"/>
      </xdr:nvSpPr>
      <xdr:spPr>
        <a:xfrm>
          <a:off x="11986260" y="1226820"/>
          <a:ext cx="1775460" cy="67056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724CC8-04C7-4B23-9209-5040F9DAB1BB}" type="TxLink">
            <a:rPr lang="en-US" sz="2800" b="1" i="0" u="none" strike="noStrike">
              <a:solidFill>
                <a:srgbClr val="BF0426"/>
              </a:solidFill>
              <a:latin typeface="Calibri"/>
              <a:ea typeface="Calibri"/>
              <a:cs typeface="Calibri"/>
            </a:rPr>
            <a:pPr algn="ctr"/>
            <a:t>120</a:t>
          </a:fld>
          <a:endParaRPr lang="en-US" sz="2800" b="1">
            <a:solidFill>
              <a:srgbClr val="BF0426"/>
            </a:solidFill>
          </a:endParaRPr>
        </a:p>
      </xdr:txBody>
    </xdr:sp>
    <xdr:clientData/>
  </xdr:twoCellAnchor>
  <xdr:twoCellAnchor>
    <xdr:from>
      <xdr:col>3</xdr:col>
      <xdr:colOff>213360</xdr:colOff>
      <xdr:row>12</xdr:row>
      <xdr:rowOff>38100</xdr:rowOff>
    </xdr:from>
    <xdr:to>
      <xdr:col>10</xdr:col>
      <xdr:colOff>121920</xdr:colOff>
      <xdr:row>18</xdr:row>
      <xdr:rowOff>175260</xdr:rowOff>
    </xdr:to>
    <xdr:graphicFrame macro="">
      <xdr:nvGraphicFramePr>
        <xdr:cNvPr id="82" name="Chart 81">
          <a:extLst>
            <a:ext uri="{FF2B5EF4-FFF2-40B4-BE49-F238E27FC236}">
              <a16:creationId xmlns:a16="http://schemas.microsoft.com/office/drawing/2014/main" id="{578E8B82-F0FE-4C16-B404-1464BE436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213360</xdr:colOff>
      <xdr:row>0</xdr:row>
      <xdr:rowOff>137160</xdr:rowOff>
    </xdr:from>
    <xdr:to>
      <xdr:col>2</xdr:col>
      <xdr:colOff>403859</xdr:colOff>
      <xdr:row>8</xdr:row>
      <xdr:rowOff>15240</xdr:rowOff>
    </xdr:to>
    <xdr:pic>
      <xdr:nvPicPr>
        <xdr:cNvPr id="84" name="Picture 83">
          <a:hlinkClick xmlns:r="http://schemas.openxmlformats.org/officeDocument/2006/relationships" r:id="rId3"/>
          <a:extLst>
            <a:ext uri="{FF2B5EF4-FFF2-40B4-BE49-F238E27FC236}">
              <a16:creationId xmlns:a16="http://schemas.microsoft.com/office/drawing/2014/main" id="{749F913D-FA43-4678-BECB-B9636D8E9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360" y="137160"/>
          <a:ext cx="1409699" cy="134112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xdr:col>
      <xdr:colOff>175260</xdr:colOff>
      <xdr:row>19</xdr:row>
      <xdr:rowOff>152400</xdr:rowOff>
    </xdr:from>
    <xdr:to>
      <xdr:col>10</xdr:col>
      <xdr:colOff>99060</xdr:colOff>
      <xdr:row>28</xdr:row>
      <xdr:rowOff>45720</xdr:rowOff>
    </xdr:to>
    <xdr:graphicFrame macro="">
      <xdr:nvGraphicFramePr>
        <xdr:cNvPr id="85" name="Chart 84">
          <a:extLst>
            <a:ext uri="{FF2B5EF4-FFF2-40B4-BE49-F238E27FC236}">
              <a16:creationId xmlns:a16="http://schemas.microsoft.com/office/drawing/2014/main" id="{EC74F17C-3059-4423-A28B-2F3C63011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426720</xdr:colOff>
      <xdr:row>12</xdr:row>
      <xdr:rowOff>68580</xdr:rowOff>
    </xdr:from>
    <xdr:to>
      <xdr:col>14</xdr:col>
      <xdr:colOff>99060</xdr:colOff>
      <xdr:row>27</xdr:row>
      <xdr:rowOff>110490</xdr:rowOff>
    </xdr:to>
    <xdr:graphicFrame macro="">
      <xdr:nvGraphicFramePr>
        <xdr:cNvPr id="86" name="Chart 85">
          <a:extLst>
            <a:ext uri="{FF2B5EF4-FFF2-40B4-BE49-F238E27FC236}">
              <a16:creationId xmlns:a16="http://schemas.microsoft.com/office/drawing/2014/main" id="{D5F4858D-0F16-4974-A801-274E2D3B2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373380</xdr:colOff>
      <xdr:row>7</xdr:row>
      <xdr:rowOff>99060</xdr:rowOff>
    </xdr:from>
    <xdr:to>
      <xdr:col>10</xdr:col>
      <xdr:colOff>434340</xdr:colOff>
      <xdr:row>10</xdr:row>
      <xdr:rowOff>22860</xdr:rowOff>
    </xdr:to>
    <xdr:sp macro="" textlink="'pivot table'!I11">
      <xdr:nvSpPr>
        <xdr:cNvPr id="89" name="TextBox 88">
          <a:extLst>
            <a:ext uri="{FF2B5EF4-FFF2-40B4-BE49-F238E27FC236}">
              <a16:creationId xmlns:a16="http://schemas.microsoft.com/office/drawing/2014/main" id="{BB4423CC-8EA2-FD2E-23A3-A3CCC3BB5C70}"/>
            </a:ext>
          </a:extLst>
        </xdr:cNvPr>
        <xdr:cNvSpPr txBox="1"/>
      </xdr:nvSpPr>
      <xdr:spPr>
        <a:xfrm>
          <a:off x="4640580" y="1379220"/>
          <a:ext cx="18897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C269FC-528E-44B3-AB59-525E022F6998}" type="TxLink">
            <a:rPr lang="en-US" sz="4000" b="1" i="0" u="none" strike="noStrike">
              <a:solidFill>
                <a:srgbClr val="BF0426"/>
              </a:solidFill>
              <a:latin typeface="Calibri"/>
              <a:ea typeface="Calibri"/>
              <a:cs typeface="Calibri"/>
            </a:rPr>
            <a:pPr algn="ctr"/>
            <a:t>70</a:t>
          </a:fld>
          <a:endParaRPr lang="en-US" sz="4000" b="1">
            <a:solidFill>
              <a:srgbClr val="BF0426"/>
            </a:solidFill>
          </a:endParaRPr>
        </a:p>
      </xdr:txBody>
    </xdr:sp>
    <xdr:clientData/>
  </xdr:twoCellAnchor>
  <xdr:twoCellAnchor>
    <xdr:from>
      <xdr:col>14</xdr:col>
      <xdr:colOff>502920</xdr:colOff>
      <xdr:row>12</xdr:row>
      <xdr:rowOff>129540</xdr:rowOff>
    </xdr:from>
    <xdr:to>
      <xdr:col>18</xdr:col>
      <xdr:colOff>480060</xdr:colOff>
      <xdr:row>28</xdr:row>
      <xdr:rowOff>22860</xdr:rowOff>
    </xdr:to>
    <xdr:graphicFrame macro="">
      <xdr:nvGraphicFramePr>
        <xdr:cNvPr id="90" name="Chart 89">
          <a:extLst>
            <a:ext uri="{FF2B5EF4-FFF2-40B4-BE49-F238E27FC236}">
              <a16:creationId xmlns:a16="http://schemas.microsoft.com/office/drawing/2014/main" id="{8291F32D-75B5-4083-935D-0F05923F0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259080</xdr:colOff>
      <xdr:row>12</xdr:row>
      <xdr:rowOff>106680</xdr:rowOff>
    </xdr:from>
    <xdr:to>
      <xdr:col>22</xdr:col>
      <xdr:colOff>518160</xdr:colOff>
      <xdr:row>28</xdr:row>
      <xdr:rowOff>22860</xdr:rowOff>
    </xdr:to>
    <xdr:graphicFrame macro="">
      <xdr:nvGraphicFramePr>
        <xdr:cNvPr id="92" name="Chart 91">
          <a:extLst>
            <a:ext uri="{FF2B5EF4-FFF2-40B4-BE49-F238E27FC236}">
              <a16:creationId xmlns:a16="http://schemas.microsoft.com/office/drawing/2014/main" id="{C26BB55A-A749-468F-9815-BBE7E8B64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xdr:colOff>
      <xdr:row>11</xdr:row>
      <xdr:rowOff>137161</xdr:rowOff>
    </xdr:from>
    <xdr:to>
      <xdr:col>3</xdr:col>
      <xdr:colOff>0</xdr:colOff>
      <xdr:row>22</xdr:row>
      <xdr:rowOff>137161</xdr:rowOff>
    </xdr:to>
    <mc:AlternateContent xmlns:mc="http://schemas.openxmlformats.org/markup-compatibility/2006" xmlns:a14="http://schemas.microsoft.com/office/drawing/2010/main">
      <mc:Choice Requires="a14">
        <xdr:graphicFrame macro="">
          <xdr:nvGraphicFramePr>
            <xdr:cNvPr id="93" name="المنتج">
              <a:extLst>
                <a:ext uri="{FF2B5EF4-FFF2-40B4-BE49-F238E27FC236}">
                  <a16:creationId xmlns:a16="http://schemas.microsoft.com/office/drawing/2014/main" id="{9A8BCB51-4F9A-4202-A880-CD16262CC4BB}"/>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53340" y="2148841"/>
              <a:ext cx="177546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ko hazem" refreshedDate="46059.594249652779" createdVersion="8" refreshedVersion="8" minRefreshableVersion="3" recordCount="120" xr:uid="{F66AB39E-B4A6-47A0-B711-D0AC18C4E758}">
  <cacheSource type="worksheet">
    <worksheetSource name="table1"/>
  </cacheSource>
  <cacheFields count="19">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ount="79">
        <s v="خالد عبد القوى "/>
        <s v="محمود"/>
        <s v="سعيد"/>
        <s v="ساندرا"/>
        <s v="زينا "/>
        <s v="شيك هومز "/>
        <s v="احمد "/>
        <s v="yilmaz"/>
        <s v="تاكى "/>
        <s v="على رشوان "/>
        <s v="احمد فخرى "/>
        <s v="لينا "/>
        <s v="فيصل نعيم "/>
        <s v="ellho elkafy"/>
        <s v="تاكى"/>
        <s v="صفاء"/>
        <s v="حسن حازم"/>
        <s v="اوسكار راتن"/>
        <s v="صفاء الحكيم"/>
        <s v="يوسف شناوى"/>
        <s v="حاتم العيسوي "/>
        <s v="رنا "/>
        <s v="عبير نور الدين"/>
        <s v="اسراء ابو العنين "/>
        <s v="وائل صادق"/>
        <s v="حسن مغرب "/>
        <s v="على السيد "/>
        <s v="هشام بسيونى "/>
        <s v="ساره وجيه "/>
        <s v="مها "/>
        <s v="بسام الشربينى "/>
        <s v="هبه عبد الفتاح "/>
        <s v="اسراء ابراهيم "/>
        <s v="طارق كمال "/>
        <s v="ديفد بهجت "/>
        <s v="اياد "/>
        <s v="ميار خورشد"/>
        <s v="عبد الله سيد "/>
        <s v="كينج سونا "/>
        <s v="احمد خالد "/>
        <s v="ساره"/>
        <s v="احمد ايمن "/>
        <s v="مصطفي غنيم "/>
        <s v="حسام عبدون"/>
        <s v="رامى "/>
        <s v="رحاب"/>
        <s v="فؤاد المنسي "/>
        <s v="mohannad"/>
        <s v="Mohamed Ayman"/>
        <s v="اسامه"/>
        <s v="ولاء بدوى"/>
        <s v="عبد الرحمن يسري"/>
        <s v="الحج محمد السويس"/>
        <s v="عمرو الأسود"/>
        <s v="keira"/>
        <s v="tarek"/>
        <s v="reem"/>
        <s v="هشام سامى"/>
        <s v="فاطمه محمد"/>
        <s v="بولا هومزمارت"/>
        <s v="محمد شكرى "/>
        <s v="شيك هومز"/>
        <s v="منزلى"/>
        <s v="حماده"/>
        <s v="صفاء عبد الباقي"/>
        <s v="رندا العامرى "/>
        <s v="محمد حمدى"/>
        <s v="بافلى هانى "/>
        <s v="رنا ميلاد"/>
        <s v="محمد ناجى"/>
        <s v="احمد عبد الستار"/>
        <s v="نور "/>
        <s v="نور"/>
        <s v="تامر"/>
        <s v="هناء اسامه"/>
        <s v="محمد عادل "/>
        <s v="مريم عنان"/>
        <s v="هبه عطيه "/>
        <s v="حمدى ذكرى"/>
      </sharedItems>
    </cacheField>
    <cacheField name="العنوان" numFmtId="0">
      <sharedItems count="38">
        <s v="العجوزه - الجيزه"/>
        <s v="سموحه - اسكندريه"/>
        <s v="سيدى عبد الرحمن - الساحل الشمالى "/>
        <s v="الغردقه "/>
        <s v="مخزن شيك هومز"/>
        <s v="التجمع الخامس "/>
        <s v="٦ اكتوبر الجيزه "/>
        <s v="العباسيه"/>
        <s v="مصر الجديده"/>
        <s v="المقطم "/>
        <s v="مدينه نصر "/>
        <s v="القاهره الجديده"/>
        <s v="المعادى"/>
        <s v="مخزن اوسكار في القناطر "/>
        <s v="العين السخنه"/>
        <s v="الابراهيميه . الإسكندرية "/>
        <s v="القطاميه "/>
        <s v="١٨ شارع البحيري بولاق الدكرور الجيزه "/>
        <s v="الشروق القاهره "/>
        <s v="حدايق الاهرام "/>
        <s v="لافيستا العين السخنه "/>
        <s v="فيصل الجيزه"/>
        <s v="الشيخ زايد ٦ اكتوبر "/>
        <s v="الرحاب"/>
        <s v="العبور"/>
        <s v="اسيوط "/>
        <s v="مدينه بدر"/>
        <s v="المخزن ابو الغيط "/>
        <s v="السويس "/>
        <s v="الزمالك"/>
        <s v="البطاش اسكندريه"/>
        <s v="41 كومبوند جولدن جستس الدور 4 شقه 4"/>
        <s v="المعرض مدينه نصر"/>
        <s v="مدينتى"/>
        <s v="شبرا "/>
        <s v="جليم الإسكندرية "/>
        <s v="المندره اسكندريه"/>
        <s v="اب تاون كايرو التجمع "/>
      </sharedItems>
    </cacheField>
    <cacheField name="منصة البيع " numFmtId="0">
      <sharedItems count="8">
        <s v="هومزمارت"/>
        <s v="شيك هومز "/>
        <s v="فيس بوك"/>
        <s v="تاكى"/>
        <s v="اوسكار ريتن "/>
        <s v="السويس"/>
        <s v="منزلى"/>
        <s v="كيمت "/>
      </sharedItems>
    </cacheField>
    <cacheField name="المنتج" numFmtId="0">
      <sharedItems count="6">
        <s v="سرير"/>
        <s v="ترابيزه"/>
        <s v="كنبه"/>
        <s v="ركنة"/>
        <s v="كرسى"/>
        <s v="شيزلونج"/>
      </sharedItems>
    </cacheField>
    <cacheField name="وصف المنتج"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unt="10">
        <s v="ابيض"/>
        <s v="اسود"/>
        <s v="ازرق"/>
        <s v="رمادي"/>
        <s v="دهبي"/>
        <s v="بنفسجى"/>
        <s v="اسود وبنى"/>
        <s v="ملون"/>
        <s v="بينك"/>
        <s v="نبيتى "/>
      </sharedItems>
    </cacheField>
    <cacheField name="لون القماش" numFmtId="0">
      <sharedItems containsBlank="1"/>
    </cacheField>
    <cacheField name="وصف المنتج الكامل" numFmtId="0">
      <sharedItems containsBlank="1"/>
    </cacheField>
    <cacheField name="سعر البيع " numFmtId="164">
      <sharedItems containsSemiMixedTypes="0" containsString="0" containsNumber="1" minValue="4020" maxValue="22000"/>
    </cacheField>
    <cacheField name="طريقه الدفع " numFmtId="0">
      <sharedItems containsMixedTypes="1" containsNumber="1" minValue="1278.53" maxValue="22000"/>
    </cacheField>
    <cacheField name="ميعاد الطلب" numFmtId="14">
      <sharedItems containsSemiMixedTypes="0" containsNonDate="0" containsDate="1" containsString="0" minDate="2024-07-27T00:00:00" maxDate="2024-12-15T00:00:00"/>
    </cacheField>
    <cacheField name="ميعاد التسليم" numFmtId="14">
      <sharedItems containsDate="1" containsMixedTypes="1" minDate="2024-07-08T00:00:00" maxDate="2025-01-06T00:00:00"/>
    </cacheField>
    <cacheField name="تاريخ التسليم" numFmtId="14">
      <sharedItems containsDate="1" containsMixedTypes="1" minDate="2024-08-10T00:00:00" maxDate="2024-12-30T00:00:00"/>
    </cacheField>
    <cacheField name="المسئول عن التسليم" numFmtId="0">
      <sharedItems/>
    </cacheField>
    <cacheField name="الحالة" numFmtId="0">
      <sharedItems count="5">
        <s v="تم التسليم"/>
        <s v="فشل التسليم"/>
        <s v="لاغى"/>
        <s v="مرتجع"/>
        <s v="مرفوض "/>
      </sharedItems>
    </cacheField>
  </cacheFields>
  <extLst>
    <ext xmlns:x14="http://schemas.microsoft.com/office/spreadsheetml/2009/9/main" uri="{725AE2AE-9491-48be-B2B4-4EB974FC3084}">
      <x14:pivotCacheDefinition pivotCacheId="537883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m/>
    <m/>
    <x v="0"/>
    <x v="0"/>
    <x v="0"/>
    <x v="0"/>
    <s v="منطبق"/>
    <m/>
    <m/>
    <x v="0"/>
    <s v="ابيض"/>
    <s v="سرير منطبق الحديد ابيض والقماش ابيض "/>
    <n v="10160"/>
    <s v="مسبق الدفع"/>
    <d v="2024-07-27T00:00:00"/>
    <d v="2024-07-08T00:00:00"/>
    <d v="2024-08-10T00:00:00"/>
    <s v="تم التسليم محمود على "/>
    <x v="0"/>
  </r>
  <r>
    <m/>
    <m/>
    <x v="1"/>
    <x v="1"/>
    <x v="0"/>
    <x v="0"/>
    <s v="منطبق"/>
    <m/>
    <m/>
    <x v="1"/>
    <s v="اسود"/>
    <s v="سرير منطبق اسود والقماش اسود "/>
    <n v="10160"/>
    <n v="9749"/>
    <d v="2024-07-28T00:00:00"/>
    <d v="2024-08-07T00:00:00"/>
    <d v="2024-08-11T00:00:00"/>
    <s v="تم التسليم محمود على "/>
    <x v="0"/>
  </r>
  <r>
    <m/>
    <m/>
    <x v="2"/>
    <x v="2"/>
    <x v="0"/>
    <x v="0"/>
    <s v="دورين"/>
    <s v="كيفنج"/>
    <n v="90"/>
    <x v="2"/>
    <m/>
    <s v="سرير كيفينج مقاس 90 لون ازرق "/>
    <n v="11455"/>
    <n v="10067.68"/>
    <d v="2024-07-27T00:00:00"/>
    <s v="فشل التسليم"/>
    <s v="فشل التسليم"/>
    <s v="فشل التسليم "/>
    <x v="1"/>
  </r>
  <r>
    <m/>
    <m/>
    <x v="3"/>
    <x v="3"/>
    <x v="0"/>
    <x v="1"/>
    <m/>
    <m/>
    <m/>
    <x v="1"/>
    <s v="بنى غامق"/>
    <s v="ترابيزه قهوه متحركه "/>
    <n v="8642"/>
    <s v="مسبق الدفع"/>
    <d v="2024-08-25T00:00:00"/>
    <d v="2024-09-07T00:00:00"/>
    <d v="2024-08-27T00:00:00"/>
    <s v="تم التسليم عن طريق شركه شحن "/>
    <x v="0"/>
  </r>
  <r>
    <m/>
    <m/>
    <x v="4"/>
    <x v="2"/>
    <x v="0"/>
    <x v="0"/>
    <s v="دورين"/>
    <s v="نوفال"/>
    <n v="100"/>
    <x v="3"/>
    <s v="رمادي"/>
    <s v="سرير نوفال متر رمادى "/>
    <n v="12833"/>
    <n v="12974.22"/>
    <d v="2024-08-16T00:00:00"/>
    <d v="2024-08-31T00:00:00"/>
    <s v="فشل التسليم"/>
    <s v="فشل التسليم "/>
    <x v="1"/>
  </r>
  <r>
    <m/>
    <m/>
    <x v="5"/>
    <x v="4"/>
    <x v="1"/>
    <x v="2"/>
    <s v="4*1"/>
    <m/>
    <m/>
    <x v="3"/>
    <s v="رمادي"/>
    <s v="كنبه سرير رمادى "/>
    <n v="14550"/>
    <s v="مسبق الدفع"/>
    <d v="2024-08-14T00:00:00"/>
    <d v="2024-09-03T00:00:00"/>
    <d v="2024-09-05T00:00:00"/>
    <s v="تم التسليم عن طريق شركه شحن "/>
    <x v="0"/>
  </r>
  <r>
    <m/>
    <m/>
    <x v="6"/>
    <x v="5"/>
    <x v="2"/>
    <x v="2"/>
    <s v="4*1"/>
    <m/>
    <m/>
    <x v="3"/>
    <s v="رمادي"/>
    <s v="كنبه سرير رمادى "/>
    <n v="12000"/>
    <n v="12000"/>
    <d v="2024-08-17T00:00:00"/>
    <d v="2024-08-20T00:00:00"/>
    <d v="2024-08-19T00:00:00"/>
    <s v="تم التسليم عن طريق شركه شحن "/>
    <x v="0"/>
  </r>
  <r>
    <m/>
    <m/>
    <x v="7"/>
    <x v="6"/>
    <x v="0"/>
    <x v="0"/>
    <s v="فردى"/>
    <m/>
    <m/>
    <x v="0"/>
    <m/>
    <s v="سرير فردى ابيض "/>
    <n v="7228"/>
    <s v="مسبق الدفع"/>
    <d v="2024-08-25T00:00:00"/>
    <d v="2024-09-03T00:00:00"/>
    <d v="2024-09-10T00:00:00"/>
    <s v="تم التسليم عن طريق شركه شحن "/>
    <x v="0"/>
  </r>
  <r>
    <m/>
    <m/>
    <x v="8"/>
    <x v="7"/>
    <x v="3"/>
    <x v="3"/>
    <s v="ركنة بسرير"/>
    <m/>
    <m/>
    <x v="1"/>
    <m/>
    <s v="ركنه "/>
    <n v="22000"/>
    <n v="22000"/>
    <d v="2024-08-19T00:00:00"/>
    <d v="2024-09-01T00:00:00"/>
    <d v="2024-09-17T00:00:00"/>
    <s v="تم التسليم محمود على "/>
    <x v="0"/>
  </r>
  <r>
    <m/>
    <m/>
    <x v="8"/>
    <x v="7"/>
    <x v="3"/>
    <x v="2"/>
    <s v="سحارة"/>
    <m/>
    <m/>
    <x v="1"/>
    <s v="رمادي"/>
    <s v="٢ كنبه سحاره بمخدع"/>
    <n v="16000"/>
    <n v="16000"/>
    <d v="2024-08-19T00:00:00"/>
    <d v="2024-09-01T00:00:00"/>
    <s v="ملغي"/>
    <s v="ملغي"/>
    <x v="2"/>
  </r>
  <r>
    <m/>
    <m/>
    <x v="8"/>
    <x v="7"/>
    <x v="3"/>
    <x v="2"/>
    <s v="سحارة"/>
    <m/>
    <m/>
    <x v="1"/>
    <s v="رمادي"/>
    <s v="٢ كنبه سحاره بدون مخدع "/>
    <n v="6000"/>
    <n v="12000"/>
    <d v="2024-08-25T00:00:00"/>
    <d v="2024-09-15T00:00:00"/>
    <d v="2024-09-17T00:00:00"/>
    <s v="تم التسليم محمود على "/>
    <x v="0"/>
  </r>
  <r>
    <m/>
    <m/>
    <x v="9"/>
    <x v="8"/>
    <x v="0"/>
    <x v="0"/>
    <s v="دورين"/>
    <s v="نوفال"/>
    <n v="80"/>
    <x v="0"/>
    <m/>
    <s v="سرير نوفال ابيض مقاس ٨٠"/>
    <n v="10499"/>
    <n v="8924"/>
    <d v="2024-09-01T00:00:00"/>
    <d v="2024-09-16T00:00:00"/>
    <d v="2024-09-08T00:00:00"/>
    <s v="تم التسليم عن طريق شركه شحن "/>
    <x v="0"/>
  </r>
  <r>
    <n v="1404561"/>
    <n v="1199284"/>
    <x v="10"/>
    <x v="6"/>
    <x v="0"/>
    <x v="0"/>
    <s v="فردى"/>
    <s v="نوفال"/>
    <n v="80"/>
    <x v="0"/>
    <m/>
    <s v="سرير فردى خشب موسكى الحديد ابيض مقاس ٨٠"/>
    <n v="7295"/>
    <n v="5895"/>
    <d v="2024-09-05T00:00:00"/>
    <d v="2024-09-14T00:00:00"/>
    <s v="ملغي"/>
    <s v="ملغي"/>
    <x v="2"/>
  </r>
  <r>
    <n v="1401137"/>
    <n v="1197500"/>
    <x v="11"/>
    <x v="9"/>
    <x v="0"/>
    <x v="1"/>
    <s v="2 ميكانزم"/>
    <m/>
    <m/>
    <x v="1"/>
    <s v="بنى غامق"/>
    <s v="ترابيزه قهوه علويه جديده "/>
    <n v="7849"/>
    <s v="مسبق الدفع"/>
    <d v="2024-09-04T00:00:00"/>
    <d v="2024-09-16T00:00:00"/>
    <d v="2024-09-25T00:00:00"/>
    <s v="تم التسليم عن طريق شركه شحن "/>
    <x v="3"/>
  </r>
  <r>
    <m/>
    <m/>
    <x v="12"/>
    <x v="5"/>
    <x v="4"/>
    <x v="0"/>
    <s v="دورين"/>
    <s v="كيفنج"/>
    <n v="120"/>
    <x v="1"/>
    <m/>
    <s v="٢ سرير كيفنج ١٢٠ اسود "/>
    <n v="6180"/>
    <n v="9700"/>
    <d v="2024-09-03T00:00:00"/>
    <d v="2024-09-16T00:00:00"/>
    <d v="2024-09-15T00:00:00"/>
    <s v="تم التسليم محمود على "/>
    <x v="0"/>
  </r>
  <r>
    <n v="1400149"/>
    <n v="1196947"/>
    <x v="13"/>
    <x v="10"/>
    <x v="0"/>
    <x v="0"/>
    <s v="دورين"/>
    <s v="كينج"/>
    <n v="80"/>
    <x v="0"/>
    <m/>
    <s v="سرير كينج ابيض مقاس ٨٠ التصميم الجديد "/>
    <n v="11199"/>
    <n v="11310"/>
    <d v="2024-09-04T00:00:00"/>
    <d v="2024-09-18T00:00:00"/>
    <s v="ملغي"/>
    <s v="ملغي"/>
    <x v="2"/>
  </r>
  <r>
    <n v="1408099"/>
    <n v="1201057"/>
    <x v="6"/>
    <x v="11"/>
    <x v="0"/>
    <x v="0"/>
    <s v="فردى"/>
    <s v="فورجينا"/>
    <n v="80"/>
    <x v="0"/>
    <m/>
    <s v="٤سرير فردى خشب موسكى الحديد ابيض مقاس ٨٠"/>
    <n v="7987"/>
    <s v="مسبق الدفع"/>
    <d v="2024-09-06T00:00:00"/>
    <d v="2024-09-16T00:00:00"/>
    <d v="2024-09-21T00:00:00"/>
    <s v="تم التسليم محمود على "/>
    <x v="0"/>
  </r>
  <r>
    <m/>
    <m/>
    <x v="14"/>
    <x v="7"/>
    <x v="3"/>
    <x v="4"/>
    <s v="فنسيا"/>
    <m/>
    <m/>
    <x v="1"/>
    <s v="اسود"/>
    <s v="٢ فوتيه فنيسيا "/>
    <n v="9300"/>
    <n v="9300"/>
    <d v="2024-09-04T00:00:00"/>
    <d v="2024-09-15T00:00:00"/>
    <d v="2024-09-17T00:00:00"/>
    <s v="تم التسليم محمود على "/>
    <x v="0"/>
  </r>
  <r>
    <n v="1408098"/>
    <n v="1201057"/>
    <x v="6"/>
    <x v="11"/>
    <x v="0"/>
    <x v="0"/>
    <s v="فردى"/>
    <s v="فورجينا"/>
    <n v="80"/>
    <x v="0"/>
    <m/>
    <s v="٤سرير فردى خشب موسكى الحديد ابيض مقاس ٨٠"/>
    <n v="7987"/>
    <s v="مسبق الدفع"/>
    <d v="2024-09-06T00:00:00"/>
    <d v="2024-09-16T00:00:00"/>
    <d v="2024-09-21T00:00:00"/>
    <s v="تم التسليم محمود على "/>
    <x v="0"/>
  </r>
  <r>
    <n v="1408100"/>
    <n v="1201057"/>
    <x v="6"/>
    <x v="11"/>
    <x v="0"/>
    <x v="0"/>
    <s v="فردى"/>
    <s v="فورجينا"/>
    <n v="80"/>
    <x v="0"/>
    <m/>
    <s v="٤سرير فردى خشب موسكى الحديد ابيض مقاس ٨٠"/>
    <n v="7987"/>
    <s v="مسبق الدفع"/>
    <d v="2024-09-06T00:00:00"/>
    <d v="2024-09-16T00:00:00"/>
    <d v="2024-09-21T00:00:00"/>
    <s v="تم التسليم محمود على "/>
    <x v="0"/>
  </r>
  <r>
    <n v="1408101"/>
    <n v="1201057"/>
    <x v="6"/>
    <x v="11"/>
    <x v="0"/>
    <x v="0"/>
    <s v="فردى"/>
    <s v="فورجينا"/>
    <n v="80"/>
    <x v="0"/>
    <m/>
    <s v="٤سرير فردى خشب موسكى الحديد ابيض مقاس ٨٠"/>
    <n v="7987"/>
    <s v="مسبق الدفع"/>
    <d v="2024-09-06T00:00:00"/>
    <d v="2024-09-16T00:00:00"/>
    <d v="2024-09-21T00:00:00"/>
    <s v="تم التسليم محمود على "/>
    <x v="0"/>
  </r>
  <r>
    <n v="1513856"/>
    <n v="1231946"/>
    <x v="15"/>
    <x v="12"/>
    <x v="0"/>
    <x v="1"/>
    <s v="2 ميكانزم"/>
    <m/>
    <m/>
    <x v="1"/>
    <s v="بنى غامق"/>
    <s v="ترابيزه قهوه علويه جديده "/>
    <n v="8849"/>
    <s v="مسبق الدفع"/>
    <d v="2024-09-03T00:00:00"/>
    <d v="2024-10-16T00:00:00"/>
    <s v="ملغي"/>
    <s v="ملغي"/>
    <x v="2"/>
  </r>
  <r>
    <n v="1411691"/>
    <n v="1202775"/>
    <x v="16"/>
    <x v="6"/>
    <x v="0"/>
    <x v="0"/>
    <s v="فردى"/>
    <s v="اسبانى"/>
    <n v="120"/>
    <x v="0"/>
    <m/>
    <s v="سرير اسبانى ابيض ١٢٠"/>
    <n v="10987"/>
    <s v="مسبق الدفع"/>
    <d v="2024-09-09T00:00:00"/>
    <d v="2024-09-17T00:00:00"/>
    <d v="2024-09-21T00:00:00"/>
    <s v="تم التسليم محمود على "/>
    <x v="0"/>
  </r>
  <r>
    <m/>
    <m/>
    <x v="5"/>
    <x v="6"/>
    <x v="1"/>
    <x v="0"/>
    <s v="دورين"/>
    <s v="كينج"/>
    <n v="100"/>
    <x v="0"/>
    <m/>
    <s v="سرير كينج ابيض "/>
    <n v="9208"/>
    <n v="5781.75"/>
    <d v="2024-09-01T00:00:00"/>
    <d v="2024-09-19T00:00:00"/>
    <d v="2024-09-21T00:00:00"/>
    <s v="تم التسليم محمود على "/>
    <x v="0"/>
  </r>
  <r>
    <m/>
    <m/>
    <x v="5"/>
    <x v="6"/>
    <x v="1"/>
    <x v="0"/>
    <s v="دورين"/>
    <s v="كينج"/>
    <n v="100"/>
    <x v="1"/>
    <m/>
    <s v="سرير كينج اسود "/>
    <n v="9208"/>
    <n v="1278.53"/>
    <d v="2024-09-01T00:00:00"/>
    <d v="2024-09-19T00:00:00"/>
    <d v="2024-09-21T00:00:00"/>
    <s v="تم التسليم محمود على "/>
    <x v="0"/>
  </r>
  <r>
    <m/>
    <m/>
    <x v="17"/>
    <x v="13"/>
    <x v="4"/>
    <x v="0"/>
    <s v="فردى"/>
    <s v="فورجينا"/>
    <n v="120"/>
    <x v="0"/>
    <m/>
    <s v="٢ سريرفورجينا خشب موسكى ابيض مقاس ١٢٠"/>
    <n v="4020"/>
    <s v="حساب شركه"/>
    <d v="2024-09-12T00:00:00"/>
    <d v="2024-09-21T00:00:00"/>
    <d v="2024-09-22T00:00:00"/>
    <s v="تم التسليم محمود على "/>
    <x v="0"/>
  </r>
  <r>
    <m/>
    <m/>
    <x v="17"/>
    <x v="13"/>
    <x v="4"/>
    <x v="0"/>
    <s v="فردى"/>
    <s v="ارفيل"/>
    <n v="120"/>
    <x v="1"/>
    <m/>
    <s v="٢ سرير ارفيل ١٢٠ اسود "/>
    <n v="4020"/>
    <s v="مسبق الدفع "/>
    <d v="2024-09-12T00:00:00"/>
    <d v="2024-09-21T00:00:00"/>
    <d v="2024-09-22T00:00:00"/>
    <s v="تم التسليم محمود على "/>
    <x v="0"/>
  </r>
  <r>
    <n v="1509211"/>
    <n v="1230837"/>
    <x v="18"/>
    <x v="14"/>
    <x v="0"/>
    <x v="0"/>
    <s v="منطبق"/>
    <m/>
    <m/>
    <x v="1"/>
    <s v="اسود"/>
    <s v="سرير منطببق اسود وقماش اسود"/>
    <n v="9399"/>
    <s v="مسبق الدفع "/>
    <d v="2024-09-14T00:00:00"/>
    <d v="2024-09-22T00:00:00"/>
    <s v="فشل التسليم"/>
    <s v="فشل التسليم "/>
    <x v="1"/>
  </r>
  <r>
    <n v="1536687"/>
    <n v="1237682"/>
    <x v="19"/>
    <x v="15"/>
    <x v="0"/>
    <x v="1"/>
    <s v="رف سحاب"/>
    <m/>
    <m/>
    <x v="1"/>
    <s v="بنى غامق"/>
    <s v="ترابيزه قهوه علويه برف سحاب "/>
    <n v="8349"/>
    <s v="مسبق الدفع "/>
    <d v="2024-09-14T00:00:00"/>
    <d v="2024-09-22T00:00:00"/>
    <d v="2024-09-24T00:00:00"/>
    <s v="تم التسليم عن طريق شركه شحن "/>
    <x v="0"/>
  </r>
  <r>
    <n v="1520537"/>
    <n v="1233624"/>
    <x v="20"/>
    <x v="6"/>
    <x v="0"/>
    <x v="0"/>
    <s v="منطبق"/>
    <m/>
    <m/>
    <x v="1"/>
    <s v="اسود"/>
    <s v="سرير منطبق اسود حديد وقماش"/>
    <n v="9399"/>
    <s v="مسبق الدفع"/>
    <d v="2024-09-13T00:00:00"/>
    <d v="2024-09-24T00:00:00"/>
    <d v="2024-09-30T00:00:00"/>
    <s v="تم التسليم عن طريق شركه شحن "/>
    <x v="0"/>
  </r>
  <r>
    <n v="1422998"/>
    <n v="1207350"/>
    <x v="21"/>
    <x v="16"/>
    <x v="0"/>
    <x v="1"/>
    <s v="2 ميكانزم"/>
    <m/>
    <m/>
    <x v="1"/>
    <s v="بنى غامق"/>
    <s v="ترابيزه قهوه علويه جديده "/>
    <n v="7849"/>
    <n v="7928"/>
    <d v="2024-09-12T00:00:00"/>
    <d v="2024-09-26T00:00:00"/>
    <d v="2024-09-14T00:00:00"/>
    <s v="تم التسليم عن طريق شركه شحن "/>
    <x v="0"/>
  </r>
  <r>
    <m/>
    <m/>
    <x v="22"/>
    <x v="17"/>
    <x v="2"/>
    <x v="0"/>
    <s v="ثلاثه ادوار"/>
    <s v="كيفنج"/>
    <n v="100"/>
    <x v="1"/>
    <m/>
    <s v="سرير ٣ ادورا اسود مقاس ١٠٠ "/>
    <n v="9450"/>
    <n v="9450"/>
    <d v="2024-09-12T00:00:00"/>
    <d v="2024-09-26T00:00:00"/>
    <s v="ملغي"/>
    <s v="ملغي"/>
    <x v="2"/>
  </r>
  <r>
    <n v="1459790"/>
    <n v="1218257"/>
    <x v="23"/>
    <x v="11"/>
    <x v="0"/>
    <x v="0"/>
    <s v="فردى"/>
    <s v="اسبانى"/>
    <n v="120"/>
    <x v="1"/>
    <m/>
    <s v="سرير اسبانى اسود مقاس ١٢٠"/>
    <n v="7460"/>
    <s v="مسبق الدفع"/>
    <d v="2024-09-13T00:00:00"/>
    <d v="2024-09-26T00:00:00"/>
    <d v="2024-10-03T00:00:00"/>
    <s v="تم التسليم محمود على "/>
    <x v="0"/>
  </r>
  <r>
    <n v="1455486"/>
    <n v="1217163"/>
    <x v="24"/>
    <x v="11"/>
    <x v="0"/>
    <x v="0"/>
    <s v="فردى"/>
    <s v="كورين"/>
    <n v="140"/>
    <x v="4"/>
    <s v="رمادى"/>
    <s v="سرير كوين مقاس ١٤٠ دهبي ورمادى "/>
    <n v="9528"/>
    <s v="مسبق الدفع"/>
    <d v="2024-09-13T00:00:00"/>
    <d v="2024-09-26T00:00:00"/>
    <d v="2024-10-03T00:00:00"/>
    <s v="تم التسليم محمود على "/>
    <x v="0"/>
  </r>
  <r>
    <n v="1504407"/>
    <n v="1229760"/>
    <x v="25"/>
    <x v="6"/>
    <x v="0"/>
    <x v="0"/>
    <s v="دورين"/>
    <s v="كيفنج"/>
    <n v="120"/>
    <x v="3"/>
    <s v="رمادي"/>
    <s v="سرير كيفنج ١٢٠ رمادى "/>
    <n v="12999"/>
    <s v="مسبق الدفع"/>
    <d v="2024-09-14T00:00:00"/>
    <d v="2024-09-27T00:00:00"/>
    <d v="2024-10-02T00:00:00"/>
    <s v="تم التسليم محمود على "/>
    <x v="0"/>
  </r>
  <r>
    <n v="1423361"/>
    <n v="1207484"/>
    <x v="26"/>
    <x v="18"/>
    <x v="0"/>
    <x v="0"/>
    <s v="دورين"/>
    <s v="نوفال"/>
    <n v="90"/>
    <x v="1"/>
    <m/>
    <s v="سرير نوفال  ٩٠ اسود "/>
    <n v="5999"/>
    <s v="مسبق الدفع"/>
    <d v="2024-09-12T00:00:00"/>
    <d v="2024-09-29T00:00:00"/>
    <s v="ملغي"/>
    <s v="ملغي"/>
    <x v="2"/>
  </r>
  <r>
    <n v="1415725"/>
    <n v="1204732"/>
    <x v="27"/>
    <x v="19"/>
    <x v="0"/>
    <x v="0"/>
    <s v="دورين"/>
    <s v="كيفنج"/>
    <n v="100"/>
    <x v="1"/>
    <m/>
    <s v="            ٢ سرير كيفنج ١٠٠ اسود "/>
    <n v="11949"/>
    <n v="10749"/>
    <d v="2024-09-12T00:00:00"/>
    <d v="2024-09-29T00:00:00"/>
    <d v="2024-10-02T00:00:00"/>
    <s v="تم التسليم محمود على "/>
    <x v="0"/>
  </r>
  <r>
    <n v="1415726"/>
    <n v="1204732"/>
    <x v="27"/>
    <x v="19"/>
    <x v="0"/>
    <x v="0"/>
    <s v="دورين"/>
    <s v="كيفنج"/>
    <n v="100"/>
    <x v="1"/>
    <m/>
    <s v="            ٢ سرير كيفنج ١٠٠ اسود "/>
    <n v="11949"/>
    <n v="10749"/>
    <d v="2024-09-12T00:00:00"/>
    <d v="2024-09-29T00:00:00"/>
    <d v="2024-10-02T00:00:00"/>
    <s v="تم التسليم محمود على "/>
    <x v="0"/>
  </r>
  <r>
    <n v="1499397"/>
    <n v="1228586"/>
    <x v="6"/>
    <x v="18"/>
    <x v="0"/>
    <x v="0"/>
    <s v="ثلاثه ادوار"/>
    <s v="كيفنج"/>
    <n v="80"/>
    <x v="0"/>
    <m/>
    <s v="سرير ٣ ادوار ابيض مقاس ٨٠ ابيض "/>
    <n v="16599"/>
    <s v="مسبق الدفع"/>
    <d v="2024-09-13T00:00:00"/>
    <d v="2024-09-30T00:00:00"/>
    <d v="2024-10-03T00:00:00"/>
    <s v="تم التسليم محمود على "/>
    <x v="0"/>
  </r>
  <r>
    <n v="1458696"/>
    <n v="1217982"/>
    <x v="28"/>
    <x v="3"/>
    <x v="0"/>
    <x v="0"/>
    <s v="دورين"/>
    <s v="كيفنج"/>
    <n v="80"/>
    <x v="0"/>
    <m/>
    <s v="سرير كيفنج دورين مقاس ٨٠ ابيض "/>
    <n v="10999"/>
    <s v="مسبق الدفع"/>
    <d v="2024-09-13T00:00:00"/>
    <d v="2024-09-30T00:00:00"/>
    <d v="2024-10-16T00:00:00"/>
    <s v="تم التسليم عن طريق شركه شحن "/>
    <x v="0"/>
  </r>
  <r>
    <n v="1480814"/>
    <n v="1223964"/>
    <x v="29"/>
    <x v="20"/>
    <x v="0"/>
    <x v="0"/>
    <s v="دورين"/>
    <s v="كيفنج"/>
    <n v="140"/>
    <x v="2"/>
    <m/>
    <s v="سرير استيل ازرق مقاس ١٤٠"/>
    <n v="13099"/>
    <s v="مسبق الدفع"/>
    <d v="2024-09-13T00:00:00"/>
    <d v="2024-09-30T00:00:00"/>
    <d v="2024-10-03T00:00:00"/>
    <s v="تم التسليم عن طريق شركه شحن "/>
    <x v="0"/>
  </r>
  <r>
    <n v="1492471"/>
    <n v="1227052"/>
    <x v="30"/>
    <x v="6"/>
    <x v="0"/>
    <x v="0"/>
    <s v="دورين"/>
    <s v="كينج"/>
    <n v="120"/>
    <x v="5"/>
    <m/>
    <s v="سرير كينج ١٢٠ بنفسجى "/>
    <n v="13849"/>
    <s v="مسبق الدفع"/>
    <d v="2024-09-13T00:00:00"/>
    <d v="2024-09-30T00:00:00"/>
    <d v="2024-10-20T00:00:00"/>
    <s v="تم التسليم محمود على "/>
    <x v="0"/>
  </r>
  <r>
    <n v="1507912"/>
    <n v="1230527"/>
    <x v="31"/>
    <x v="11"/>
    <x v="0"/>
    <x v="2"/>
    <s v="4*1"/>
    <m/>
    <m/>
    <x v="1"/>
    <s v="رمادى"/>
    <s v="كنبه سرير ٤ حركه "/>
    <n v="21999"/>
    <s v="مسبق الدفع"/>
    <d v="2024-09-13T00:00:00"/>
    <d v="2024-09-30T00:00:00"/>
    <d v="2024-10-03T00:00:00"/>
    <s v="تم التسليم عن طريق شركه شحن "/>
    <x v="0"/>
  </r>
  <r>
    <n v="1525747"/>
    <n v="1234936"/>
    <x v="32"/>
    <x v="6"/>
    <x v="0"/>
    <x v="0"/>
    <s v="دورين"/>
    <s v="كيفنج"/>
    <n v="80"/>
    <x v="0"/>
    <m/>
    <s v="سرير كيفنج دورين مقاس ٨٠ ابيض "/>
    <n v="10999"/>
    <s v="مسبق الدفع"/>
    <d v="2024-09-13T00:00:00"/>
    <d v="2024-09-30T00:00:00"/>
    <d v="2024-10-15T00:00:00"/>
    <s v="تم التسليم محمود على "/>
    <x v="0"/>
  </r>
  <r>
    <n v="1536313"/>
    <n v="1237601"/>
    <x v="33"/>
    <x v="12"/>
    <x v="0"/>
    <x v="0"/>
    <s v="ثلاثه ادوار"/>
    <s v="كيفنج"/>
    <n v="90"/>
    <x v="1"/>
    <m/>
    <s v="سرير ٣ ادوار اسود مقاس ٩٠ "/>
    <n v="17249"/>
    <s v="مسبق الدفع"/>
    <d v="2024-09-13T00:00:00"/>
    <d v="2024-09-30T00:00:00"/>
    <d v="2024-10-04T00:00:00"/>
    <s v="تم التسليم محمود على "/>
    <x v="0"/>
  </r>
  <r>
    <n v="1505609"/>
    <n v="1230031"/>
    <x v="34"/>
    <x v="21"/>
    <x v="0"/>
    <x v="1"/>
    <s v="2 ميكانزم"/>
    <m/>
    <m/>
    <x v="1"/>
    <s v="بنى غامق"/>
    <s v="تربيزه قهوه ٢ رافع"/>
    <n v="8349"/>
    <s v="مسبق الدفع"/>
    <d v="2024-09-14T00:00:00"/>
    <d v="2024-10-16T00:00:00"/>
    <d v="2024-10-21T00:00:00"/>
    <s v="تم التسليم محمود على "/>
    <x v="0"/>
  </r>
  <r>
    <n v="1612229"/>
    <n v="1254076"/>
    <x v="35"/>
    <x v="9"/>
    <x v="0"/>
    <x v="1"/>
    <s v="بمكتبة"/>
    <m/>
    <m/>
    <x v="1"/>
    <s v="بنى غامق"/>
    <s v="ترابيزه قهوه متحركه "/>
    <n v="7849"/>
    <s v="مسبق الدفع"/>
    <d v="2024-09-14T00:00:00"/>
    <d v="2024-10-29T00:00:00"/>
    <d v="2024-10-30T00:00:00"/>
    <s v="تم التسليم محمود على "/>
    <x v="0"/>
  </r>
  <r>
    <n v="1673771"/>
    <n v="1269559"/>
    <x v="36"/>
    <x v="6"/>
    <x v="0"/>
    <x v="0"/>
    <s v="منطبق"/>
    <m/>
    <m/>
    <x v="1"/>
    <s v="اسود"/>
    <s v="سرير منطبق اسود حديد ومعدن "/>
    <n v="9399"/>
    <s v="مسبق الدفع "/>
    <d v="2024-09-14T00:00:00"/>
    <d v="2024-10-29T00:00:00"/>
    <d v="2024-10-15T00:00:00"/>
    <s v="تم التسليم محمود على "/>
    <x v="0"/>
  </r>
  <r>
    <n v="1667352"/>
    <n v="1267819"/>
    <x v="37"/>
    <x v="22"/>
    <x v="0"/>
    <x v="0"/>
    <s v="فردى"/>
    <s v="اسبانى"/>
    <n v="140"/>
    <x v="1"/>
    <m/>
    <s v="سرير اسبانى  ١٤٠ اسود وبيج "/>
    <n v="11817"/>
    <s v="مسبق الدفع "/>
    <d v="2024-09-14T00:00:00"/>
    <d v="2024-10-29T00:00:00"/>
    <d v="2024-10-15T00:00:00"/>
    <s v="تم التسليم محمود على "/>
    <x v="0"/>
  </r>
  <r>
    <n v="1649781"/>
    <n v="1263160"/>
    <x v="38"/>
    <x v="18"/>
    <x v="0"/>
    <x v="1"/>
    <s v="رف سحاب"/>
    <m/>
    <m/>
    <x v="1"/>
    <s v="بنى غامق"/>
    <s v="تربيزه قهوه مرتفعه برف سحاب "/>
    <n v="8349"/>
    <s v="مسبق الدفع "/>
    <d v="2024-09-14T00:00:00"/>
    <d v="2024-10-29T00:00:00"/>
    <d v="2024-10-19T00:00:00"/>
    <s v="تم التسليم محمود على "/>
    <x v="0"/>
  </r>
  <r>
    <n v="1681476"/>
    <n v="1271813"/>
    <x v="39"/>
    <x v="23"/>
    <x v="0"/>
    <x v="0"/>
    <s v="فردى"/>
    <s v="فورجينا"/>
    <n v="120"/>
    <x v="0"/>
    <m/>
    <s v=" ٢. سرير فورجينا ابيض مقاس ١٢٠"/>
    <n v="17886"/>
    <s v="مسبق الدفع "/>
    <d v="2024-09-14T00:00:00"/>
    <d v="2024-10-29T00:00:00"/>
    <s v="ملغي"/>
    <s v="ملغي"/>
    <x v="2"/>
  </r>
  <r>
    <n v="1681477"/>
    <n v="1271813"/>
    <x v="39"/>
    <x v="23"/>
    <x v="0"/>
    <x v="0"/>
    <s v="فردى"/>
    <s v="فورجينا"/>
    <n v="120"/>
    <x v="0"/>
    <m/>
    <s v=" ٢. سرير فورجينا ابيض مقاس ١٢٠"/>
    <n v="17886"/>
    <s v="مسبق الدفع "/>
    <d v="2024-09-14T00:00:00"/>
    <d v="2024-10-29T00:00:00"/>
    <s v="ملغي"/>
    <s v="ملغي"/>
    <x v="2"/>
  </r>
  <r>
    <n v="1677530"/>
    <n v="1270704"/>
    <x v="40"/>
    <x v="11"/>
    <x v="0"/>
    <x v="0"/>
    <s v="فردى"/>
    <s v="اسبانى"/>
    <n v="120"/>
    <x v="0"/>
    <m/>
    <s v="   ٢. سرير اسبانى ابيض ١٢٠"/>
    <n v="10987"/>
    <s v="مسبق الدفع"/>
    <d v="2024-09-14T00:00:00"/>
    <d v="2024-10-29T00:00:00"/>
    <d v="2024-10-13T00:00:00"/>
    <s v="تم التسليم محمود على "/>
    <x v="0"/>
  </r>
  <r>
    <n v="1677528"/>
    <n v="1270704"/>
    <x v="40"/>
    <x v="11"/>
    <x v="0"/>
    <x v="0"/>
    <s v="فردى"/>
    <s v="اسبانى"/>
    <n v="120"/>
    <x v="0"/>
    <m/>
    <s v="   ٢. سرير اسبانى ابيض ١٢٠"/>
    <n v="10987"/>
    <s v="مسبق الدفع"/>
    <d v="2024-09-14T00:00:00"/>
    <d v="2024-10-29T00:00:00"/>
    <d v="2024-10-13T00:00:00"/>
    <s v="تم التسليم محمود على "/>
    <x v="0"/>
  </r>
  <r>
    <n v="1657744"/>
    <n v="1265268"/>
    <x v="41"/>
    <x v="24"/>
    <x v="0"/>
    <x v="1"/>
    <s v="2 ميكانزم"/>
    <m/>
    <m/>
    <x v="1"/>
    <s v="بنى غامق"/>
    <s v="ترابيزه قهوه علويه جديده "/>
    <n v="10319"/>
    <s v="مسبق الدفع"/>
    <d v="2024-09-14T00:00:00"/>
    <d v="2024-10-29T00:00:00"/>
    <d v="2024-10-19T00:00:00"/>
    <s v="تم التسليم محمود على "/>
    <x v="0"/>
  </r>
  <r>
    <n v="1610613"/>
    <n v="1253646"/>
    <x v="42"/>
    <x v="25"/>
    <x v="0"/>
    <x v="0"/>
    <s v="دورين"/>
    <s v="كيفنج"/>
    <n v="120"/>
    <x v="3"/>
    <s v="رمادي"/>
    <s v="سرير كيفنج دورين مقاس ١٢٠ رمادى "/>
    <n v="12999"/>
    <s v="مسبق الدفع "/>
    <d v="2024-09-14T00:00:00"/>
    <d v="2024-11-20T00:00:00"/>
    <d v="2024-10-17T00:00:00"/>
    <s v="تم التسليم عن طريق شركه شحن "/>
    <x v="0"/>
  </r>
  <r>
    <n v="1608468"/>
    <n v="1253172"/>
    <x v="43"/>
    <x v="3"/>
    <x v="0"/>
    <x v="2"/>
    <s v="4*1"/>
    <m/>
    <m/>
    <x v="1"/>
    <s v="رمادى"/>
    <s v="كنبه سرير ٤ حركه "/>
    <n v="21999"/>
    <s v="مسبق الدفع"/>
    <d v="2024-09-14T00:00:00"/>
    <d v="2024-11-20T00:00:00"/>
    <s v="ملغي"/>
    <s v="ملغي"/>
    <x v="2"/>
  </r>
  <r>
    <n v="1654554"/>
    <n v="1264469"/>
    <x v="44"/>
    <x v="18"/>
    <x v="0"/>
    <x v="0"/>
    <s v="دورين"/>
    <s v="نوفال"/>
    <n v="100"/>
    <x v="3"/>
    <s v="رمادي"/>
    <s v="سرير نوفال ١٠٠ رمادى "/>
    <n v="12399"/>
    <s v="مسبق الدفع"/>
    <d v="2024-09-14T00:00:00"/>
    <d v="2024-11-20T00:00:00"/>
    <d v="2024-10-01T00:00:00"/>
    <s v="تم التسليم عن طريق شركه شحن "/>
    <x v="0"/>
  </r>
  <r>
    <n v="1644504"/>
    <n v="1261644"/>
    <x v="45"/>
    <x v="11"/>
    <x v="0"/>
    <x v="2"/>
    <s v="4*1"/>
    <m/>
    <m/>
    <x v="1"/>
    <s v="رمادى"/>
    <s v="كنبه سرير ٤ حركه "/>
    <n v="21999"/>
    <s v="مسبق الدفع"/>
    <d v="2024-09-14T00:00:00"/>
    <d v="2024-11-20T00:00:00"/>
    <d v="2024-10-09T00:00:00"/>
    <s v="تم التسليم محمود على "/>
    <x v="0"/>
  </r>
  <r>
    <n v="1655447"/>
    <n v="1264684"/>
    <x v="46"/>
    <x v="9"/>
    <x v="0"/>
    <x v="0"/>
    <s v="دورين"/>
    <s v="نوفال"/>
    <n v="80"/>
    <x v="0"/>
    <m/>
    <s v="سرير نوفال مقاس ٨٠ ابيض "/>
    <n v="10999"/>
    <s v="مسبق الدفع "/>
    <d v="2024-09-14T00:00:00"/>
    <d v="2024-11-20T00:00:00"/>
    <d v="2024-10-16T00:00:00"/>
    <s v="تم التسليم محمود على "/>
    <x v="0"/>
  </r>
  <r>
    <n v="1679731"/>
    <n v="1271291"/>
    <x v="47"/>
    <x v="12"/>
    <x v="0"/>
    <x v="0"/>
    <s v="دورين"/>
    <s v="كيفنج"/>
    <n v="80"/>
    <x v="0"/>
    <m/>
    <m/>
    <n v="10999"/>
    <s v="مسبق الدفع "/>
    <d v="2024-09-14T00:00:00"/>
    <d v="2024-11-20T00:00:00"/>
    <d v="2024-10-16T00:00:00"/>
    <s v="تم التسليم محمود على "/>
    <x v="0"/>
  </r>
  <r>
    <n v="1679739"/>
    <n v="1271291"/>
    <x v="47"/>
    <x v="12"/>
    <x v="0"/>
    <x v="0"/>
    <s v="دورين"/>
    <s v="كيفنج"/>
    <n v="80"/>
    <x v="0"/>
    <m/>
    <m/>
    <n v="10999"/>
    <s v="مسبق الدفع "/>
    <d v="2024-09-15T00:00:00"/>
    <d v="2024-11-20T00:00:00"/>
    <d v="2024-10-16T00:00:00"/>
    <s v="تم التسليم محمود على "/>
    <x v="0"/>
  </r>
  <r>
    <n v="1670668"/>
    <n v="1268695"/>
    <x v="48"/>
    <x v="26"/>
    <x v="0"/>
    <x v="2"/>
    <s v="4*1"/>
    <m/>
    <m/>
    <x v="1"/>
    <s v="رمادى"/>
    <m/>
    <n v="21999"/>
    <s v="مسبق الدفع "/>
    <d v="2024-09-15T00:00:00"/>
    <d v="2024-11-20T00:00:00"/>
    <d v="2024-10-19T00:00:00"/>
    <s v="تم التسليم محمود على "/>
    <x v="0"/>
  </r>
  <r>
    <n v="1416625"/>
    <n v="1205197"/>
    <x v="49"/>
    <x v="14"/>
    <x v="0"/>
    <x v="1"/>
    <s v="2 ميكانزم"/>
    <m/>
    <m/>
    <x v="1"/>
    <s v="بنى غامق"/>
    <m/>
    <n v="7849"/>
    <n v="6306"/>
    <d v="2024-09-16T00:00:00"/>
    <d v="2024-10-30T00:00:00"/>
    <d v="2024-11-14T00:00:00"/>
    <s v="تم التسليم عن طريق شركه شحن "/>
    <x v="0"/>
  </r>
  <r>
    <m/>
    <m/>
    <x v="17"/>
    <x v="27"/>
    <x v="4"/>
    <x v="0"/>
    <s v="دورين"/>
    <s v="كيفنج"/>
    <n v="80"/>
    <x v="0"/>
    <m/>
    <m/>
    <n v="5074"/>
    <s v="حساب شركه"/>
    <d v="2024-09-21T00:00:00"/>
    <d v="2024-10-05T00:00:00"/>
    <d v="2024-10-12T00:00:00"/>
    <s v="تم التسليم محمود على "/>
    <x v="0"/>
  </r>
  <r>
    <n v="2514"/>
    <n v="2514"/>
    <x v="8"/>
    <x v="7"/>
    <x v="3"/>
    <x v="0"/>
    <s v="دورين"/>
    <s v="كينج"/>
    <n v="100"/>
    <x v="6"/>
    <m/>
    <m/>
    <n v="6250"/>
    <s v="حساب شركه"/>
    <d v="2024-09-23T00:00:00"/>
    <d v="2024-10-08T00:00:00"/>
    <d v="2024-10-17T00:00:00"/>
    <s v="تم التسليم محمود على "/>
    <x v="0"/>
  </r>
  <r>
    <n v="1706794"/>
    <n v="1281428"/>
    <x v="50"/>
    <x v="7"/>
    <x v="0"/>
    <x v="0"/>
    <s v="فردى"/>
    <s v="فورجينا"/>
    <n v="120"/>
    <x v="0"/>
    <m/>
    <m/>
    <n v="8943"/>
    <n v="9033"/>
    <d v="2024-09-26T00:00:00"/>
    <d v="2024-11-10T00:00:00"/>
    <d v="2024-10-10T00:00:00"/>
    <s v="تم التسليم محمود على "/>
    <x v="0"/>
  </r>
  <r>
    <n v="1704621"/>
    <n v="1280197"/>
    <x v="51"/>
    <x v="6"/>
    <x v="0"/>
    <x v="1"/>
    <s v="رف سحاب"/>
    <m/>
    <m/>
    <x v="1"/>
    <s v="بنى غامق"/>
    <m/>
    <n v="8349"/>
    <n v="8433"/>
    <d v="2024-09-26T00:00:00"/>
    <d v="2024-11-10T00:00:00"/>
    <s v="ملغي"/>
    <s v="ملغي"/>
    <x v="2"/>
  </r>
  <r>
    <n v="240078066"/>
    <m/>
    <x v="5"/>
    <x v="5"/>
    <x v="1"/>
    <x v="2"/>
    <s v="4×1"/>
    <m/>
    <m/>
    <x v="3"/>
    <s v="نبيتى "/>
    <m/>
    <n v="14950"/>
    <s v="مسبق الدفع"/>
    <d v="2024-09-26T00:00:00"/>
    <d v="2024-10-14T00:00:00"/>
    <d v="2024-10-13T00:00:00"/>
    <s v="تم التسليم محمود على "/>
    <x v="0"/>
  </r>
  <r>
    <n v="240077789"/>
    <m/>
    <x v="5"/>
    <x v="6"/>
    <x v="1"/>
    <x v="0"/>
    <s v="دورين"/>
    <s v="كينج"/>
    <n v="100"/>
    <x v="1"/>
    <m/>
    <m/>
    <n v="9208"/>
    <n v="9608"/>
    <d v="2024-09-26T00:00:00"/>
    <d v="2024-10-14T00:00:00"/>
    <s v="ملغي"/>
    <s v="ملغي"/>
    <x v="2"/>
  </r>
  <r>
    <n v="240078390"/>
    <m/>
    <x v="5"/>
    <x v="4"/>
    <x v="1"/>
    <x v="0"/>
    <s v="فردى"/>
    <s v="اسبانى"/>
    <n v="120"/>
    <x v="0"/>
    <m/>
    <m/>
    <n v="7433"/>
    <s v="مسبق الدفع"/>
    <d v="2024-09-29T00:00:00"/>
    <d v="2024-10-20T00:00:00"/>
    <d v="2024-10-21T00:00:00"/>
    <s v="تم التسليم محمود على "/>
    <x v="0"/>
  </r>
  <r>
    <m/>
    <m/>
    <x v="17"/>
    <x v="27"/>
    <x v="4"/>
    <x v="0"/>
    <s v="فردى"/>
    <s v="فورجينا"/>
    <n v="120"/>
    <x v="0"/>
    <m/>
    <m/>
    <n v="4020"/>
    <s v="حساب شركه"/>
    <d v="2024-09-29T00:00:00"/>
    <d v="2024-10-12T00:00:00"/>
    <d v="2024-10-12T00:00:00"/>
    <s v="تم التسليم محمود على "/>
    <x v="0"/>
  </r>
  <r>
    <m/>
    <m/>
    <x v="52"/>
    <x v="28"/>
    <x v="5"/>
    <x v="0"/>
    <s v="دورين"/>
    <s v="فانتاستك"/>
    <n v="100"/>
    <x v="7"/>
    <m/>
    <m/>
    <n v="8544.9054400000005"/>
    <s v="مسبق الدفع"/>
    <d v="2024-10-01T00:00:00"/>
    <d v="2024-10-09T00:00:00"/>
    <d v="2024-10-09T00:00:00"/>
    <s v="تم التسليم بمعرفه الحج سيد "/>
    <x v="0"/>
  </r>
  <r>
    <m/>
    <m/>
    <x v="52"/>
    <x v="28"/>
    <x v="5"/>
    <x v="0"/>
    <s v="منطبق"/>
    <m/>
    <m/>
    <x v="1"/>
    <s v="بيج"/>
    <m/>
    <n v="4600"/>
    <s v="مسبق الدفع"/>
    <d v="2024-10-01T00:00:00"/>
    <d v="2024-10-09T00:00:00"/>
    <d v="2024-10-09T00:00:00"/>
    <s v="تم التسليم بمعرفه الحج سيد "/>
    <x v="0"/>
  </r>
  <r>
    <m/>
    <m/>
    <x v="52"/>
    <x v="28"/>
    <x v="5"/>
    <x v="2"/>
    <s v="فنيسيا"/>
    <m/>
    <m/>
    <x v="1"/>
    <s v="رصاصي مشجر"/>
    <m/>
    <n v="10000"/>
    <s v="مسبق الدفع"/>
    <d v="2024-10-01T00:00:00"/>
    <d v="2024-10-09T00:00:00"/>
    <d v="2024-10-09T00:00:00"/>
    <s v="تم التسليم بمعرفه الحج سيد "/>
    <x v="0"/>
  </r>
  <r>
    <m/>
    <m/>
    <x v="52"/>
    <x v="28"/>
    <x v="5"/>
    <x v="5"/>
    <m/>
    <m/>
    <m/>
    <x v="1"/>
    <s v="نبيتى "/>
    <m/>
    <n v="10451"/>
    <s v="مسبق الدفع"/>
    <d v="2024-10-01T00:00:00"/>
    <d v="2024-10-09T00:00:00"/>
    <d v="2024-10-09T00:00:00"/>
    <s v="تم التسليم بمعرفه الحج سيد "/>
    <x v="0"/>
  </r>
  <r>
    <n v="1282228"/>
    <n v="1708226"/>
    <x v="53"/>
    <x v="29"/>
    <x v="0"/>
    <x v="0"/>
    <s v="منطبق"/>
    <m/>
    <m/>
    <x v="1"/>
    <s v="اسود"/>
    <m/>
    <n v="8899"/>
    <n v="8988"/>
    <d v="2024-10-03T00:00:00"/>
    <d v="2024-11-17T00:00:00"/>
    <s v="ملغي"/>
    <s v="ملغي"/>
    <x v="2"/>
  </r>
  <r>
    <n v="240079328"/>
    <m/>
    <x v="5"/>
    <x v="4"/>
    <x v="1"/>
    <x v="2"/>
    <s v="4×1"/>
    <m/>
    <m/>
    <x v="1"/>
    <s v="بترولى "/>
    <m/>
    <n v="14550"/>
    <s v="مسبق الدفع"/>
    <d v="2024-10-08T00:00:00"/>
    <d v="2024-10-29T00:00:00"/>
    <d v="2024-10-30T00:00:00"/>
    <s v="تم التسليم محمود على "/>
    <x v="0"/>
  </r>
  <r>
    <n v="240078933"/>
    <m/>
    <x v="5"/>
    <x v="6"/>
    <x v="1"/>
    <x v="2"/>
    <s v="4×1"/>
    <m/>
    <m/>
    <x v="1"/>
    <s v="بترولى "/>
    <m/>
    <n v="14550"/>
    <s v="مسبق الدفع"/>
    <d v="2024-10-07T00:00:00"/>
    <d v="2024-10-29T00:00:00"/>
    <d v="2024-10-15T00:00:00"/>
    <s v="تم التسليم محمود على "/>
    <x v="0"/>
  </r>
  <r>
    <n v="240079517"/>
    <m/>
    <x v="5"/>
    <x v="4"/>
    <x v="1"/>
    <x v="2"/>
    <s v="4×1"/>
    <m/>
    <m/>
    <x v="1"/>
    <s v="نبيتى "/>
    <m/>
    <n v="14550"/>
    <n v="11495"/>
    <d v="2024-10-10T00:00:00"/>
    <d v="2024-10-31T00:00:00"/>
    <d v="2024-11-02T00:00:00"/>
    <s v="تم التسليم محمود على "/>
    <x v="0"/>
  </r>
  <r>
    <n v="1714623"/>
    <n v="1284697"/>
    <x v="54"/>
    <x v="11"/>
    <x v="0"/>
    <x v="0"/>
    <s v="دورين"/>
    <s v="نوفال "/>
    <s v="١٤٠/١٠٠"/>
    <x v="8"/>
    <m/>
    <m/>
    <n v="12899"/>
    <n v="13028"/>
    <d v="2024-10-13T00:00:00"/>
    <d v="2024-12-17T00:00:00"/>
    <d v="2024-11-02T00:00:00"/>
    <s v="تم التسليم محمود على "/>
    <x v="0"/>
  </r>
  <r>
    <n v="1715473"/>
    <n v="1285152"/>
    <x v="55"/>
    <x v="8"/>
    <x v="0"/>
    <x v="0"/>
    <s v="دورين"/>
    <s v="كيفنج"/>
    <n v="80"/>
    <x v="0"/>
    <m/>
    <m/>
    <n v="10499"/>
    <s v="مسبق الدفع"/>
    <d v="2024-10-16T00:00:00"/>
    <d v="2024-12-19T00:00:00"/>
    <d v="2024-10-21T00:00:00"/>
    <s v="تم التسليم محمود على "/>
    <x v="0"/>
  </r>
  <r>
    <n v="1715992"/>
    <n v="1285423"/>
    <x v="56"/>
    <x v="30"/>
    <x v="0"/>
    <x v="0"/>
    <s v="دورين"/>
    <s v="نوفال"/>
    <s v="١٠٠/١٤٠"/>
    <x v="8"/>
    <m/>
    <m/>
    <n v="12899"/>
    <s v="مسبق الدفع"/>
    <d v="2024-10-17T00:00:00"/>
    <d v="2024-12-22T00:00:00"/>
    <d v="2024-12-03T00:00:00"/>
    <s v="تم التسليم عن طريق شركه شحن "/>
    <x v="0"/>
  </r>
  <r>
    <s v="s03163"/>
    <m/>
    <x v="57"/>
    <x v="31"/>
    <x v="6"/>
    <x v="0"/>
    <s v="فردى"/>
    <s v="بلحه"/>
    <n v="140"/>
    <x v="9"/>
    <s v="خشب بنى فاتح"/>
    <m/>
    <n v="5135"/>
    <s v="مسبق الدفع"/>
    <d v="2024-10-20T00:00:00"/>
    <d v="2024-11-17T00:00:00"/>
    <d v="2024-11-14T00:00:00"/>
    <s v="تم التسليم محمود على "/>
    <x v="0"/>
  </r>
  <r>
    <n v="240080607"/>
    <m/>
    <x v="5"/>
    <x v="6"/>
    <x v="1"/>
    <x v="0"/>
    <s v="دورين"/>
    <s v="فانتستيك"/>
    <n v="100"/>
    <x v="1"/>
    <s v="رمادي"/>
    <m/>
    <n v="12777.5"/>
    <n v="11277.5"/>
    <d v="2024-10-22T00:00:00"/>
    <d v="2024-11-12T00:00:00"/>
    <d v="2024-11-18T00:00:00"/>
    <s v="تم التسليم محمود على "/>
    <x v="0"/>
  </r>
  <r>
    <m/>
    <m/>
    <x v="17"/>
    <x v="32"/>
    <x v="4"/>
    <x v="0"/>
    <s v="دورين"/>
    <s v="فانتستيك"/>
    <n v="100"/>
    <x v="1"/>
    <s v="رمادي"/>
    <m/>
    <n v="8544.91"/>
    <s v="حساب شركه"/>
    <d v="2024-10-22T00:00:00"/>
    <d v="2024-10-28T00:00:00"/>
    <s v="ملغي"/>
    <s v="ملغي"/>
    <x v="4"/>
  </r>
  <r>
    <n v="1717458"/>
    <n v="1286189"/>
    <x v="58"/>
    <x v="6"/>
    <x v="0"/>
    <x v="0"/>
    <s v="فردى"/>
    <s v="فورجينا"/>
    <n v="120"/>
    <x v="0"/>
    <m/>
    <m/>
    <n v="8943"/>
    <n v="9007.01"/>
    <d v="2024-10-21T00:00:00"/>
    <d v="2024-11-14T00:00:00"/>
    <d v="2024-11-18T00:00:00"/>
    <s v="تم التسليم محمود على "/>
    <x v="0"/>
  </r>
  <r>
    <n v="240080858"/>
    <m/>
    <x v="5"/>
    <x v="4"/>
    <x v="1"/>
    <x v="2"/>
    <s v="4×1"/>
    <m/>
    <m/>
    <x v="1"/>
    <m/>
    <m/>
    <n v="15516"/>
    <s v="مسبق الدفع"/>
    <d v="2024-10-24T00:00:00"/>
    <d v="2024-11-14T00:00:00"/>
    <d v="2024-10-30T00:00:00"/>
    <s v="تم التسليم محمود على "/>
    <x v="0"/>
  </r>
  <r>
    <n v="240081061"/>
    <m/>
    <x v="5"/>
    <x v="6"/>
    <x v="1"/>
    <x v="0"/>
    <s v="دورين"/>
    <s v="كينج"/>
    <n v="100"/>
    <x v="1"/>
    <m/>
    <m/>
    <n v="10045"/>
    <n v="8879"/>
    <d v="2024-10-26T00:00:00"/>
    <d v="2024-11-16T00:00:00"/>
    <s v="ملغي"/>
    <s v="ملغي"/>
    <x v="2"/>
  </r>
  <r>
    <n v="1718948"/>
    <n v="1286883"/>
    <x v="40"/>
    <x v="22"/>
    <x v="0"/>
    <x v="0"/>
    <s v="دورين"/>
    <s v="كينج"/>
    <n v="90"/>
    <x v="1"/>
    <m/>
    <m/>
    <n v="11649"/>
    <n v="11749"/>
    <d v="2024-10-26T00:00:00"/>
    <d v="2024-11-10T00:00:00"/>
    <d v="2024-11-18T00:00:00"/>
    <s v="تم التسليم محمود على "/>
    <x v="0"/>
  </r>
  <r>
    <n v="1718949"/>
    <n v="1286883"/>
    <x v="40"/>
    <x v="22"/>
    <x v="0"/>
    <x v="0"/>
    <s v="دورين"/>
    <s v="كينج"/>
    <n v="90"/>
    <x v="1"/>
    <m/>
    <m/>
    <n v="11649"/>
    <n v="11749"/>
    <d v="2024-10-26T00:00:00"/>
    <d v="2024-11-10T00:00:00"/>
    <d v="2024-11-18T00:00:00"/>
    <s v="تم التسليم محمود على "/>
    <x v="0"/>
  </r>
  <r>
    <m/>
    <m/>
    <x v="59"/>
    <x v="12"/>
    <x v="0"/>
    <x v="0"/>
    <s v="فردى"/>
    <s v="اسبانى"/>
    <n v="100"/>
    <x v="0"/>
    <m/>
    <m/>
    <n v="5100"/>
    <n v="4800"/>
    <d v="2024-10-28T00:00:00"/>
    <d v="2024-11-11T00:00:00"/>
    <d v="2024-11-21T00:00:00"/>
    <s v="تم التسليم محمود على "/>
    <x v="0"/>
  </r>
  <r>
    <m/>
    <m/>
    <x v="59"/>
    <x v="12"/>
    <x v="0"/>
    <x v="0"/>
    <s v="فردى"/>
    <s v="اسبانى"/>
    <n v="120"/>
    <x v="0"/>
    <m/>
    <m/>
    <n v="5300"/>
    <n v="4800"/>
    <d v="2024-10-28T00:00:00"/>
    <d v="2024-11-11T00:00:00"/>
    <d v="2024-11-21T00:00:00"/>
    <s v="تم التسليم محمود على "/>
    <x v="0"/>
  </r>
  <r>
    <n v="1744766"/>
    <n v="1298738"/>
    <x v="60"/>
    <x v="33"/>
    <x v="0"/>
    <x v="0"/>
    <s v="دورين"/>
    <s v="كيفنج"/>
    <n v="80"/>
    <x v="0"/>
    <m/>
    <m/>
    <n v="12099"/>
    <s v="مسبق الدفع"/>
    <d v="2024-11-11T00:00:00"/>
    <d v="2024-11-26T00:00:00"/>
    <d v="2024-11-27T00:00:00"/>
    <s v="تم التسليم محمود على "/>
    <x v="0"/>
  </r>
  <r>
    <n v="240082226"/>
    <m/>
    <x v="61"/>
    <x v="4"/>
    <x v="1"/>
    <x v="2"/>
    <s v="4×1"/>
    <s v="ارينا"/>
    <m/>
    <x v="1"/>
    <s v="بترولى"/>
    <m/>
    <n v="15872"/>
    <s v="مسبق الدفع"/>
    <d v="2024-11-08T00:00:00"/>
    <d v="2024-12-03T00:00:00"/>
    <d v="2024-11-14T00:00:00"/>
    <s v="تم التسليم محمود على "/>
    <x v="0"/>
  </r>
  <r>
    <s v="so3290"/>
    <m/>
    <x v="62"/>
    <x v="5"/>
    <x v="6"/>
    <x v="0"/>
    <s v="فردى"/>
    <s v="فورجينا"/>
    <n v="120"/>
    <x v="0"/>
    <m/>
    <m/>
    <n v="4520"/>
    <s v="حساب شركه"/>
    <d v="2024-11-10T00:00:00"/>
    <d v="2024-11-22T00:00:00"/>
    <d v="2024-11-21T00:00:00"/>
    <s v="تم التسليم محمود على "/>
    <x v="0"/>
  </r>
  <r>
    <s v="s_6725"/>
    <m/>
    <x v="17"/>
    <x v="27"/>
    <x v="4"/>
    <x v="0"/>
    <s v="دورين"/>
    <s v="كينج"/>
    <n v="90"/>
    <x v="1"/>
    <m/>
    <m/>
    <n v="5766"/>
    <s v="حساب شركه"/>
    <d v="2024-11-12T00:00:00"/>
    <d v="2024-11-26T00:00:00"/>
    <d v="2024-11-25T00:00:00"/>
    <s v="تم التسليم محمود على "/>
    <x v="0"/>
  </r>
  <r>
    <n v="1752544"/>
    <n v="1302011"/>
    <x v="63"/>
    <x v="12"/>
    <x v="0"/>
    <x v="0"/>
    <s v="فردى"/>
    <s v="فورجينا"/>
    <n v="160"/>
    <x v="5"/>
    <m/>
    <m/>
    <n v="11395"/>
    <s v="مسبق الدفع"/>
    <d v="2024-11-12T00:00:00"/>
    <d v="2024-11-24T00:00:00"/>
    <d v="2024-11-27T00:00:00"/>
    <s v="تم التسليم محمود على "/>
    <x v="0"/>
  </r>
  <r>
    <n v="1755075"/>
    <n v="1303159"/>
    <x v="64"/>
    <x v="5"/>
    <x v="0"/>
    <x v="0"/>
    <s v="دورين"/>
    <s v="كينج "/>
    <n v="80"/>
    <x v="0"/>
    <m/>
    <m/>
    <n v="12919"/>
    <s v="مسبق الدفع"/>
    <d v="2024-11-14T00:00:00"/>
    <d v="2024-11-30T00:00:00"/>
    <d v="2024-11-27T00:00:00"/>
    <s v="تم التسليم محمود على "/>
    <x v="0"/>
  </r>
  <r>
    <s v="s_6806"/>
    <m/>
    <x v="17"/>
    <x v="27"/>
    <x v="4"/>
    <x v="0"/>
    <s v="دورين"/>
    <s v="نوفال"/>
    <n v="120"/>
    <x v="3"/>
    <s v="رمادي"/>
    <m/>
    <n v="6376"/>
    <s v="حساب شركه"/>
    <d v="2024-11-14T00:00:00"/>
    <d v="2024-11-27T00:00:00"/>
    <d v="2024-11-25T00:00:00"/>
    <s v="تم التسليم محمود على "/>
    <x v="0"/>
  </r>
  <r>
    <s v="s-6626"/>
    <m/>
    <x v="17"/>
    <x v="27"/>
    <x v="4"/>
    <x v="0"/>
    <s v="دورين "/>
    <s v="نوفال"/>
    <n v="90"/>
    <x v="1"/>
    <m/>
    <m/>
    <n v="5294"/>
    <s v="حساب شركه"/>
    <d v="2024-11-14T00:00:00"/>
    <d v="2024-11-27T00:00:00"/>
    <d v="2024-11-25T00:00:00"/>
    <s v="تم التسليم محمود على "/>
    <x v="0"/>
  </r>
  <r>
    <n v="265453625"/>
    <m/>
    <x v="65"/>
    <x v="6"/>
    <x v="7"/>
    <x v="0"/>
    <s v="دورين "/>
    <s v="كيفنج "/>
    <n v="80"/>
    <x v="0"/>
    <m/>
    <m/>
    <n v="7396"/>
    <s v="مسبق الدفع"/>
    <d v="2024-11-17T00:00:00"/>
    <d v="2024-11-28T00:00:00"/>
    <d v="2024-11-26T00:00:00"/>
    <s v="تم التسليم محمود على "/>
    <x v="0"/>
  </r>
  <r>
    <n v="1762617"/>
    <n v="1306879"/>
    <x v="40"/>
    <x v="6"/>
    <x v="0"/>
    <x v="0"/>
    <s v="دورين"/>
    <s v="كينج"/>
    <n v="90"/>
    <x v="1"/>
    <m/>
    <m/>
    <n v="13439"/>
    <n v="13575"/>
    <d v="2024-11-20T00:00:00"/>
    <d v="2024-12-05T00:00:00"/>
    <d v="2024-11-26T00:00:00"/>
    <s v="تم التسليم محمود على "/>
    <x v="0"/>
  </r>
  <r>
    <m/>
    <m/>
    <x v="8"/>
    <x v="7"/>
    <x v="3"/>
    <x v="0"/>
    <s v="فردى "/>
    <s v="امريكى"/>
    <n v="160"/>
    <x v="1"/>
    <m/>
    <m/>
    <n v="5100"/>
    <s v="حساب شركه"/>
    <d v="2024-11-14T00:00:00"/>
    <d v="2024-12-08T00:00:00"/>
    <d v="2024-08-15T00:00:00"/>
    <s v="تم التسليم محمود على "/>
    <x v="0"/>
  </r>
  <r>
    <m/>
    <m/>
    <x v="66"/>
    <x v="8"/>
    <x v="2"/>
    <x v="0"/>
    <s v="فردى"/>
    <s v="كوين "/>
    <n v="160"/>
    <x v="4"/>
    <s v="ابيض"/>
    <m/>
    <n v="6000"/>
    <n v="5800"/>
    <d v="2024-11-22T00:00:00"/>
    <d v="2024-12-02T00:00:00"/>
    <d v="2024-11-27T00:00:00"/>
    <s v="تم التسليم محمود على "/>
    <x v="0"/>
  </r>
  <r>
    <n v="1765451"/>
    <n v="1308241"/>
    <x v="67"/>
    <x v="34"/>
    <x v="0"/>
    <x v="0"/>
    <s v="فردى "/>
    <s v="اسبانى "/>
    <n v="120"/>
    <x v="3"/>
    <s v="رمادي"/>
    <m/>
    <n v="10885"/>
    <n v="7965"/>
    <d v="2024-11-24T00:00:00"/>
    <d v="2024-12-05T00:00:00"/>
    <d v="2024-12-10T00:00:00"/>
    <s v="تم التسليم محمود على "/>
    <x v="0"/>
  </r>
  <r>
    <m/>
    <m/>
    <x v="8"/>
    <x v="7"/>
    <x v="3"/>
    <x v="2"/>
    <s v="t1"/>
    <s v="t1"/>
    <m/>
    <x v="1"/>
    <m/>
    <m/>
    <n v="6000"/>
    <n v="6000"/>
    <d v="2024-11-19T00:00:00"/>
    <d v="2024-12-05T00:00:00"/>
    <d v="2024-11-20T00:00:00"/>
    <s v="تم التسليم م محمد "/>
    <x v="0"/>
  </r>
  <r>
    <n v="1782674"/>
    <n v="1315860"/>
    <x v="68"/>
    <x v="35"/>
    <x v="0"/>
    <x v="1"/>
    <m/>
    <s v="مكتبه"/>
    <m/>
    <x v="1"/>
    <s v="بنى غامق"/>
    <m/>
    <n v="8449"/>
    <s v="مسبق الدفع"/>
    <d v="2024-11-27T00:00:00"/>
    <d v="2024-12-10T00:00:00"/>
    <d v="2024-12-23T00:00:00"/>
    <s v="تم التسليم عن طريق شركه شحن "/>
    <x v="0"/>
  </r>
  <r>
    <n v="1781530"/>
    <n v="1315450"/>
    <x v="69"/>
    <x v="10"/>
    <x v="0"/>
    <x v="1"/>
    <s v="دوران "/>
    <s v="ميكانزم"/>
    <m/>
    <x v="0"/>
    <s v="ابيض في بنى غامق"/>
    <m/>
    <n v="10249"/>
    <n v="6211"/>
    <d v="2024-11-27T00:00:00"/>
    <d v="2024-12-10T00:00:00"/>
    <d v="2024-12-19T00:00:00"/>
    <s v="تم التسليم محمود على "/>
    <x v="0"/>
  </r>
  <r>
    <n v="1795447"/>
    <n v="1321584"/>
    <x v="70"/>
    <x v="36"/>
    <x v="0"/>
    <x v="0"/>
    <s v="دورين"/>
    <s v="كيفنج"/>
    <n v="100"/>
    <x v="1"/>
    <m/>
    <m/>
    <n v="14905"/>
    <s v="مسبق الدفع"/>
    <d v="2024-11-29T00:00:00"/>
    <d v="2024-12-15T00:00:00"/>
    <s v="ملغي"/>
    <s v="العميل رفض الاستلام"/>
    <x v="2"/>
  </r>
  <r>
    <n v="1808440"/>
    <n v="1327172"/>
    <x v="71"/>
    <x v="11"/>
    <x v="0"/>
    <x v="1"/>
    <s v="دوران "/>
    <s v="ميكانزم"/>
    <m/>
    <x v="1"/>
    <s v="بنى غامق"/>
    <m/>
    <n v="10249"/>
    <s v="مسبق الدفع"/>
    <d v="2024-11-30T00:00:00"/>
    <d v="2024-12-12T00:00:00"/>
    <s v="ملغي"/>
    <s v="ملغي"/>
    <x v="2"/>
  </r>
  <r>
    <n v="1808441"/>
    <n v="1327172"/>
    <x v="72"/>
    <x v="11"/>
    <x v="0"/>
    <x v="1"/>
    <s v="رف سحاب"/>
    <m/>
    <m/>
    <x v="1"/>
    <s v="بنى غامق "/>
    <m/>
    <n v="9029"/>
    <s v="مسبق الدفع"/>
    <d v="2024-11-30T00:00:00"/>
    <d v="2024-12-12T00:00:00"/>
    <s v="ملغي"/>
    <s v="ملغي"/>
    <x v="2"/>
  </r>
  <r>
    <n v="1805052"/>
    <n v="1325637"/>
    <x v="73"/>
    <x v="14"/>
    <x v="0"/>
    <x v="1"/>
    <s v="٢ ميكانزم"/>
    <m/>
    <m/>
    <x v="1"/>
    <s v="بيج "/>
    <m/>
    <n v="9029"/>
    <s v="مسبق الدفع"/>
    <d v="2024-11-30T00:00:00"/>
    <d v="2024-12-12T00:00:00"/>
    <d v="2024-12-17T00:00:00"/>
    <s v="تم التسليم محمود على "/>
    <x v="0"/>
  </r>
  <r>
    <n v="1813823"/>
    <n v="1329646"/>
    <x v="74"/>
    <x v="16"/>
    <x v="0"/>
    <x v="0"/>
    <s v="دورين "/>
    <s v="نوفال"/>
    <n v="80"/>
    <x v="0"/>
    <m/>
    <m/>
    <n v="12099"/>
    <s v="مسبق الدفع"/>
    <d v="2024-12-02T00:00:00"/>
    <d v="2024-12-17T00:00:00"/>
    <s v="ملغي"/>
    <s v="ملغي"/>
    <x v="2"/>
  </r>
  <r>
    <s v="s_7152"/>
    <m/>
    <x v="17"/>
    <x v="27"/>
    <x v="4"/>
    <x v="0"/>
    <s v="دورين "/>
    <s v="كيفنج "/>
    <n v="90"/>
    <x v="2"/>
    <m/>
    <m/>
    <n v="5217"/>
    <s v="حساب شركه"/>
    <d v="2024-12-01T00:00:00"/>
    <d v="2024-12-14T00:00:00"/>
    <d v="2024-12-10T00:00:00"/>
    <s v="تم التسليم محمود على "/>
    <x v="0"/>
  </r>
  <r>
    <n v="1810950"/>
    <n v="1328141"/>
    <x v="75"/>
    <x v="24"/>
    <x v="0"/>
    <x v="0"/>
    <s v="منطبق"/>
    <m/>
    <m/>
    <x v="1"/>
    <s v="اسود"/>
    <m/>
    <n v="10249"/>
    <n v="6211"/>
    <d v="2024-12-04T00:00:00"/>
    <d v="2024-12-14T00:00:00"/>
    <d v="2024-12-19T00:00:00"/>
    <s v="تم التسليم محمود على "/>
    <x v="0"/>
  </r>
  <r>
    <n v="240085463"/>
    <m/>
    <x v="76"/>
    <x v="37"/>
    <x v="1"/>
    <x v="0"/>
    <s v="دورين"/>
    <s v="كينج"/>
    <m/>
    <x v="1"/>
    <m/>
    <m/>
    <n v="10445"/>
    <n v="7707"/>
    <d v="2024-12-09T00:00:00"/>
    <d v="2024-12-31T00:00:00"/>
    <d v="2024-12-12T00:00:00"/>
    <s v="تم التسليم محمود على "/>
    <x v="0"/>
  </r>
  <r>
    <n v="1818591"/>
    <n v="1332300"/>
    <x v="77"/>
    <x v="11"/>
    <x v="0"/>
    <x v="1"/>
    <s v="دوران"/>
    <s v="ميكانزم"/>
    <m/>
    <x v="1"/>
    <s v="بنى غامق"/>
    <m/>
    <n v="11199"/>
    <n v="11257"/>
    <d v="2024-12-12T00:00:00"/>
    <d v="2024-12-24T00:00:00"/>
    <d v="2024-12-19T00:00:00"/>
    <s v="تم التسليم محمود على "/>
    <x v="0"/>
  </r>
  <r>
    <n v="1818396"/>
    <n v="1332179"/>
    <x v="78"/>
    <x v="6"/>
    <x v="0"/>
    <x v="0"/>
    <s v="دورين"/>
    <s v="نوفال"/>
    <n v="80"/>
    <x v="1"/>
    <m/>
    <m/>
    <n v="13099"/>
    <n v="13231"/>
    <d v="2024-12-12T00:00:00"/>
    <d v="2024-12-28T00:00:00"/>
    <d v="2024-12-29T00:00:00"/>
    <s v="تم التسليم محمود على "/>
    <x v="0"/>
  </r>
  <r>
    <n v="240085758"/>
    <m/>
    <x v="61"/>
    <x v="4"/>
    <x v="1"/>
    <x v="2"/>
    <s v="4×1"/>
    <s v="ارينا"/>
    <m/>
    <x v="1"/>
    <s v="روك ١٠"/>
    <m/>
    <n v="8700"/>
    <s v="حساب شركه"/>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975D0-101B-467B-9351-C569EA7130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H11" firstHeaderRow="0" firstDataRow="1" firstDataCol="0"/>
  <pivotFields count="19">
    <pivotField showAll="0"/>
    <pivotField dataField="1" showAll="0"/>
    <pivotField dataField="1" showAll="0"/>
    <pivotField showAll="0"/>
    <pivotField showAll="0"/>
    <pivotField showAll="0">
      <items count="7">
        <item x="1"/>
        <item x="3"/>
        <item x="0"/>
        <item x="5"/>
        <item x="4"/>
        <item x="2"/>
        <item t="default"/>
      </items>
    </pivotField>
    <pivotField showAll="0"/>
    <pivotField showAll="0"/>
    <pivotField showAll="0"/>
    <pivotField showAll="0"/>
    <pivotField showAll="0"/>
    <pivotField showAll="0"/>
    <pivotField numFmtId="164" showAll="0"/>
    <pivotField showAll="0"/>
    <pivotField numFmtId="14" showAll="0"/>
    <pivotField showAll="0"/>
    <pivotField showAll="0"/>
    <pivotField showAll="0"/>
    <pivotField showAll="0"/>
  </pivotFields>
  <rowItems count="1">
    <i/>
  </rowItems>
  <colFields count="1">
    <field x="-2"/>
  </colFields>
  <colItems count="2">
    <i>
      <x/>
    </i>
    <i i="1">
      <x v="1"/>
    </i>
  </colItems>
  <dataFields count="2">
    <dataField name="Count of رقم الطلب" fld="1" subtotal="count" baseField="0" baseItem="0"/>
    <dataField name="Count of أسم العميل"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1431D2-B5A1-4EB9-9A3F-1526F6F8D2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19">
    <pivotField showAll="0"/>
    <pivotField showAll="0"/>
    <pivotField showAll="0"/>
    <pivotField showAll="0"/>
    <pivotField showAll="0"/>
    <pivotField showAll="0">
      <items count="7">
        <item x="1"/>
        <item x="3"/>
        <item x="0"/>
        <item x="5"/>
        <item x="4"/>
        <item x="2"/>
        <item t="default"/>
      </items>
    </pivotField>
    <pivotField showAll="0"/>
    <pivotField showAll="0"/>
    <pivotField showAll="0"/>
    <pivotField showAll="0"/>
    <pivotField showAll="0"/>
    <pivotField showAll="0"/>
    <pivotField dataField="1" numFmtId="164" showAll="0"/>
    <pivotField showAll="0"/>
    <pivotField numFmtId="14" showAll="0"/>
    <pivotField showAll="0"/>
    <pivotField showAll="0"/>
    <pivotField showAll="0"/>
    <pivotField axis="axisPage" multipleItemSelectionAllowed="1" showAll="0">
      <items count="6">
        <item x="0"/>
        <item h="1" x="1"/>
        <item h="1" x="2"/>
        <item h="1" x="3"/>
        <item h="1" x="4"/>
        <item t="default"/>
      </items>
    </pivotField>
  </pivotFields>
  <rowItems count="1">
    <i/>
  </rowItems>
  <colItems count="1">
    <i/>
  </colItems>
  <pageFields count="1">
    <pageField fld="18" hier="-1"/>
  </pageFields>
  <dataFields count="1">
    <dataField name="Sum of سعر البيع " fld="12"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9C2DF3-0B05-4019-A9B4-FE0BDB28D9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T8:BU14" firstHeaderRow="1" firstDataRow="1" firstDataCol="1"/>
  <pivotFields count="19">
    <pivotField showAll="0"/>
    <pivotField showAll="0"/>
    <pivotField dataField="1" showAll="0"/>
    <pivotField showAll="0"/>
    <pivotField showAll="0"/>
    <pivotField showAll="0">
      <items count="7">
        <item x="1"/>
        <item x="3"/>
        <item x="0"/>
        <item x="5"/>
        <item x="4"/>
        <item x="2"/>
        <item t="default"/>
      </items>
    </pivotField>
    <pivotField showAll="0"/>
    <pivotField showAll="0"/>
    <pivotField showAll="0"/>
    <pivotField showAll="0"/>
    <pivotField showAll="0"/>
    <pivotField showAll="0"/>
    <pivotField numFmtId="164" showAll="0"/>
    <pivotField showAll="0"/>
    <pivotField numFmtId="14" showAll="0"/>
    <pivotField showAll="0"/>
    <pivotField showAll="0"/>
    <pivotField showAll="0"/>
    <pivotField axis="axisRow" showAll="0">
      <items count="6">
        <item x="0"/>
        <item x="1"/>
        <item x="2"/>
        <item x="3"/>
        <item x="4"/>
        <item t="default"/>
      </items>
    </pivotField>
  </pivotFields>
  <rowFields count="1">
    <field x="18"/>
  </rowFields>
  <rowItems count="6">
    <i>
      <x/>
    </i>
    <i>
      <x v="1"/>
    </i>
    <i>
      <x v="2"/>
    </i>
    <i>
      <x v="3"/>
    </i>
    <i>
      <x v="4"/>
    </i>
    <i t="grand">
      <x/>
    </i>
  </rowItems>
  <colItems count="1">
    <i/>
  </colItems>
  <dataFields count="1">
    <dataField name="Count of أسم العميل" fld="2" subtotal="count" showDataAs="percentOfTotal" baseField="18" baseItem="0" numFmtId="1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E6194E-70F8-4930-B563-937F1F2B2D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11:BD12" firstHeaderRow="1" firstDataRow="1" firstDataCol="0"/>
  <pivotFields count="19">
    <pivotField showAll="0"/>
    <pivotField showAll="0"/>
    <pivotField dataField="1" showAll="0">
      <items count="80">
        <item x="13"/>
        <item x="54"/>
        <item x="48"/>
        <item x="47"/>
        <item x="56"/>
        <item x="55"/>
        <item x="7"/>
        <item x="6"/>
        <item x="41"/>
        <item x="39"/>
        <item x="70"/>
        <item x="10"/>
        <item x="49"/>
        <item x="32"/>
        <item x="23"/>
        <item x="52"/>
        <item x="17"/>
        <item x="35"/>
        <item x="67"/>
        <item x="30"/>
        <item x="59"/>
        <item x="14"/>
        <item x="8"/>
        <item x="73"/>
        <item x="20"/>
        <item x="43"/>
        <item x="16"/>
        <item x="25"/>
        <item x="63"/>
        <item x="78"/>
        <item x="0"/>
        <item x="34"/>
        <item x="44"/>
        <item x="45"/>
        <item x="21"/>
        <item x="68"/>
        <item x="65"/>
        <item x="4"/>
        <item x="40"/>
        <item x="28"/>
        <item x="3"/>
        <item x="2"/>
        <item x="61"/>
        <item x="5"/>
        <item x="15"/>
        <item x="18"/>
        <item x="64"/>
        <item x="33"/>
        <item x="51"/>
        <item x="37"/>
        <item x="22"/>
        <item x="26"/>
        <item x="9"/>
        <item x="53"/>
        <item x="58"/>
        <item x="46"/>
        <item x="12"/>
        <item x="38"/>
        <item x="11"/>
        <item x="66"/>
        <item x="60"/>
        <item x="75"/>
        <item x="69"/>
        <item x="1"/>
        <item x="76"/>
        <item x="42"/>
        <item x="62"/>
        <item x="29"/>
        <item x="36"/>
        <item x="72"/>
        <item x="71"/>
        <item x="31"/>
        <item x="77"/>
        <item x="27"/>
        <item x="57"/>
        <item x="74"/>
        <item x="24"/>
        <item x="50"/>
        <item x="19"/>
        <item t="default"/>
      </items>
    </pivotField>
    <pivotField showAll="0"/>
    <pivotField showAll="0">
      <items count="9">
        <item x="5"/>
        <item x="4"/>
        <item x="3"/>
        <item x="1"/>
        <item x="2"/>
        <item x="7"/>
        <item x="6"/>
        <item x="0"/>
        <item t="default"/>
      </items>
    </pivotField>
    <pivotField showAll="0">
      <items count="7">
        <item x="1"/>
        <item x="3"/>
        <item x="0"/>
        <item x="5"/>
        <item x="4"/>
        <item x="2"/>
        <item t="default"/>
      </items>
    </pivotField>
    <pivotField showAll="0"/>
    <pivotField showAll="0"/>
    <pivotField showAll="0"/>
    <pivotField showAll="0"/>
    <pivotField showAll="0"/>
    <pivotField showAll="0"/>
    <pivotField numFmtId="164" showAll="0"/>
    <pivotField showAll="0"/>
    <pivotField numFmtId="14" showAll="0"/>
    <pivotField showAll="0"/>
    <pivotField showAll="0"/>
    <pivotField showAll="0"/>
    <pivotField showAll="0"/>
  </pivotFields>
  <rowItems count="1">
    <i/>
  </rowItems>
  <colItems count="1">
    <i/>
  </colItems>
  <dataFields count="1">
    <dataField name="Count of أسم العميل"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BEA681-00C4-4AF2-95F1-240FD3641B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M10:AN21" firstHeaderRow="1" firstDataRow="1" firstDataCol="1"/>
  <pivotFields count="19">
    <pivotField showAll="0"/>
    <pivotField showAll="0"/>
    <pivotField showAll="0"/>
    <pivotField showAll="0"/>
    <pivotField showAll="0"/>
    <pivotField showAll="0">
      <items count="7">
        <item x="1"/>
        <item x="3"/>
        <item x="0"/>
        <item x="5"/>
        <item x="4"/>
        <item x="2"/>
        <item t="default"/>
      </items>
    </pivotField>
    <pivotField showAll="0"/>
    <pivotField showAll="0"/>
    <pivotField showAll="0"/>
    <pivotField axis="axisRow" showAll="0">
      <items count="11">
        <item x="0"/>
        <item x="2"/>
        <item x="1"/>
        <item x="6"/>
        <item x="5"/>
        <item x="8"/>
        <item x="4"/>
        <item x="3"/>
        <item x="7"/>
        <item x="9"/>
        <item t="default"/>
      </items>
    </pivotField>
    <pivotField showAll="0"/>
    <pivotField showAll="0"/>
    <pivotField dataField="1" numFmtId="164" showAll="0"/>
    <pivotField showAll="0"/>
    <pivotField numFmtId="14"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Sum of سعر البيع " fld="12" baseField="0" baseItem="0" numFmtId="164"/>
  </dataFields>
  <formats count="1">
    <format dxfId="1">
      <pivotArea collapsedLevelsAreSubtotals="1" fieldPosition="0">
        <references count="1">
          <reference field="9" count="0"/>
        </references>
      </pivotArea>
    </format>
  </format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C1B5B4-5B03-4DE1-82EC-586D361247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O10" firstHeaderRow="1" firstDataRow="1" firstDataCol="0" rowPageCount="1" colPageCount="1"/>
  <pivotFields count="19">
    <pivotField showAll="0"/>
    <pivotField showAll="0"/>
    <pivotField showAll="0"/>
    <pivotField showAll="0"/>
    <pivotField showAll="0"/>
    <pivotField showAll="0">
      <items count="7">
        <item x="1"/>
        <item x="3"/>
        <item x="0"/>
        <item x="5"/>
        <item x="4"/>
        <item x="2"/>
        <item t="default"/>
      </items>
    </pivotField>
    <pivotField showAll="0"/>
    <pivotField showAll="0"/>
    <pivotField showAll="0"/>
    <pivotField showAll="0"/>
    <pivotField showAll="0"/>
    <pivotField showAll="0"/>
    <pivotField dataField="1" numFmtId="164" showAll="0"/>
    <pivotField showAll="0"/>
    <pivotField numFmtId="14" showAll="0"/>
    <pivotField showAll="0"/>
    <pivotField showAll="0"/>
    <pivotField showAll="0"/>
    <pivotField axis="axisPage" multipleItemSelectionAllowed="1" showAll="0">
      <items count="6">
        <item x="0"/>
        <item h="1" x="1"/>
        <item h="1" x="2"/>
        <item h="1" x="3"/>
        <item h="1" x="4"/>
        <item t="default"/>
      </items>
    </pivotField>
  </pivotFields>
  <rowItems count="1">
    <i/>
  </rowItems>
  <colItems count="1">
    <i/>
  </colItems>
  <pageFields count="1">
    <pageField fld="18" hier="-1"/>
  </pageFields>
  <dataFields count="1">
    <dataField name="Average of سعر البيع "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9FA8C-0B3E-4D03-9B96-F459A5E97D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10:AF19" firstHeaderRow="1" firstDataRow="1" firstDataCol="1"/>
  <pivotFields count="19">
    <pivotField showAll="0"/>
    <pivotField showAll="0"/>
    <pivotField showAll="0"/>
    <pivotField showAll="0"/>
    <pivotField axis="axisRow" showAll="0">
      <items count="9">
        <item x="5"/>
        <item x="4"/>
        <item x="3"/>
        <item x="1"/>
        <item x="2"/>
        <item x="7"/>
        <item x="6"/>
        <item x="0"/>
        <item t="default"/>
      </items>
    </pivotField>
    <pivotField dataField="1" showAll="0">
      <items count="7">
        <item x="1"/>
        <item x="3"/>
        <item x="0"/>
        <item x="5"/>
        <item x="4"/>
        <item x="2"/>
        <item t="default"/>
      </items>
    </pivotField>
    <pivotField showAll="0"/>
    <pivotField showAll="0"/>
    <pivotField showAll="0"/>
    <pivotField showAll="0"/>
    <pivotField showAll="0"/>
    <pivotField showAll="0"/>
    <pivotField numFmtId="164" showAll="0"/>
    <pivotField showAll="0"/>
    <pivotField numFmtId="14"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المنتج"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92A66D-E385-490B-8EC4-BAF22A8AD9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9:X16" firstHeaderRow="1" firstDataRow="1" firstDataCol="1"/>
  <pivotFields count="19">
    <pivotField showAll="0"/>
    <pivotField showAll="0"/>
    <pivotField showAll="0"/>
    <pivotField showAll="0"/>
    <pivotField showAll="0"/>
    <pivotField axis="axisRow" showAll="0">
      <items count="7">
        <item x="1"/>
        <item x="3"/>
        <item x="0"/>
        <item x="5"/>
        <item x="4"/>
        <item x="2"/>
        <item t="default"/>
      </items>
    </pivotField>
    <pivotField showAll="0"/>
    <pivotField showAll="0"/>
    <pivotField showAll="0"/>
    <pivotField showAll="0"/>
    <pivotField showAll="0"/>
    <pivotField showAll="0"/>
    <pivotField dataField="1" numFmtId="164" showAll="0"/>
    <pivotField showAll="0"/>
    <pivotField numFmtId="14"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سعر البيع " fld="12"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54602-5591-4971-9425-F23B4169D7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U10:AV16" firstHeaderRow="1" firstDataRow="1" firstDataCol="1"/>
  <pivotFields count="19">
    <pivotField showAll="0"/>
    <pivotField showAll="0"/>
    <pivotField showAll="0"/>
    <pivotField axis="axisRow" showAll="0" measureFilter="1" sortType="descending">
      <items count="39">
        <item x="17"/>
        <item x="31"/>
        <item x="6"/>
        <item x="37"/>
        <item x="25"/>
        <item x="15"/>
        <item x="30"/>
        <item x="5"/>
        <item x="23"/>
        <item x="29"/>
        <item x="28"/>
        <item x="18"/>
        <item x="22"/>
        <item x="7"/>
        <item x="24"/>
        <item x="0"/>
        <item x="14"/>
        <item x="3"/>
        <item x="11"/>
        <item x="16"/>
        <item x="27"/>
        <item x="12"/>
        <item x="32"/>
        <item x="9"/>
        <item x="36"/>
        <item x="35"/>
        <item x="19"/>
        <item x="1"/>
        <item x="2"/>
        <item x="34"/>
        <item x="21"/>
        <item x="20"/>
        <item x="13"/>
        <item x="4"/>
        <item x="33"/>
        <item x="26"/>
        <item x="10"/>
        <item x="8"/>
        <item t="default"/>
      </items>
      <autoSortScope>
        <pivotArea dataOnly="0" outline="0" fieldPosition="0">
          <references count="1">
            <reference field="4294967294" count="1" selected="0">
              <x v="0"/>
            </reference>
          </references>
        </pivotArea>
      </autoSortScope>
    </pivotField>
    <pivotField showAll="0"/>
    <pivotField showAll="0">
      <items count="7">
        <item x="1"/>
        <item x="3"/>
        <item x="0"/>
        <item x="5"/>
        <item x="4"/>
        <item x="2"/>
        <item t="default"/>
      </items>
    </pivotField>
    <pivotField showAll="0"/>
    <pivotField showAll="0"/>
    <pivotField showAll="0"/>
    <pivotField showAll="0"/>
    <pivotField showAll="0"/>
    <pivotField showAll="0"/>
    <pivotField dataField="1" numFmtId="164" showAll="0"/>
    <pivotField showAll="0"/>
    <pivotField numFmtId="14" showAll="0"/>
    <pivotField showAll="0"/>
    <pivotField showAll="0"/>
    <pivotField showAll="0"/>
    <pivotField showAll="0"/>
  </pivotFields>
  <rowFields count="1">
    <field x="3"/>
  </rowFields>
  <rowItems count="6">
    <i>
      <x v="2"/>
    </i>
    <i>
      <x v="18"/>
    </i>
    <i>
      <x v="33"/>
    </i>
    <i>
      <x v="13"/>
    </i>
    <i>
      <x v="21"/>
    </i>
    <i t="grand">
      <x/>
    </i>
  </rowItems>
  <colItems count="1">
    <i/>
  </colItems>
  <dataFields count="1">
    <dataField name="Sum of سعر البيع " fld="12" baseField="0" baseItem="0" numFmtId="164"/>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2">
          <reference field="4294967294" count="1" selected="0">
            <x v="0"/>
          </reference>
          <reference field="3" count="1" selected="0">
            <x v="18"/>
          </reference>
        </references>
      </pivotArea>
    </chartFormat>
    <chartFormat chart="5" format="10">
      <pivotArea type="data" outline="0" fieldPosition="0">
        <references count="2">
          <reference field="4294967294" count="1" selected="0">
            <x v="0"/>
          </reference>
          <reference field="3" count="1" selected="0">
            <x v="33"/>
          </reference>
        </references>
      </pivotArea>
    </chartFormat>
    <chartFormat chart="5" format="11">
      <pivotArea type="data" outline="0" fieldPosition="0">
        <references count="2">
          <reference field="4294967294" count="1" selected="0">
            <x v="0"/>
          </reference>
          <reference field="3" count="1" selected="0">
            <x v="13"/>
          </reference>
        </references>
      </pivotArea>
    </chartFormat>
    <chartFormat chart="5" format="12">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74AA5CB7-8F6D-4161-AA6B-BB9BEFE3FE85}" sourceName="المنتج">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7"/>
    <pivotTable tabId="4" name="PivotTable9"/>
  </pivotTables>
  <data>
    <tabular pivotCacheId="537883423">
      <items count="6">
        <i x="1" s="1"/>
        <i x="3" s="1"/>
        <i x="0"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تج" xr10:uid="{16246D04-103F-40DD-A7F3-2EF15DB40E21}" cache="Slicer_المنتج" caption="المنتج" columnCount="2" style="Slicer Style 3"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F7DAB5-695F-46C5-8499-8B6CCC7C0C53}" name="Table1" displayName="Table1" ref="A1:S121" totalsRowShown="0" headerRowDxfId="6">
  <autoFilter ref="A1:S121" xr:uid="{DCF7DAB5-695F-46C5-8499-8B6CCC7C0C53}"/>
  <tableColumns count="19">
    <tableColumn id="1" xr3:uid="{31429365-5318-4102-8DEA-EC8410F320D0}" name="رقم العملية"/>
    <tableColumn id="2" xr3:uid="{20810A74-082A-4079-A83D-D228BCD31177}" name="رقم الطلب"/>
    <tableColumn id="3" xr3:uid="{05B1B099-0A2A-4A6B-906D-C850C51E3EF5}" name="أسم العميل"/>
    <tableColumn id="4" xr3:uid="{B8F5F14F-EF03-4E80-A423-393751CA4C47}" name="العنوان"/>
    <tableColumn id="5" xr3:uid="{93959DB6-F12B-41BD-A62D-34B4458E311E}" name="منصة البيع "/>
    <tableColumn id="6" xr3:uid="{D74F0885-DBFC-47C9-804D-13726C7C6E88}" name="المنتج"/>
    <tableColumn id="7" xr3:uid="{6FFDF099-238C-4787-B837-9E9E6397C988}" name="وصف المنتج"/>
    <tableColumn id="8" xr3:uid="{5EB35560-87AB-4B8C-A3E5-931F75515A91}" name="الاسم"/>
    <tableColumn id="9" xr3:uid="{97CACF8E-3E11-407B-990C-81716D66E82B}" name="المقاس"/>
    <tableColumn id="10" xr3:uid="{C4669205-BF5D-4470-859C-D9FB617DC2E8}" name="اللون المعدن"/>
    <tableColumn id="11" xr3:uid="{EF1B401E-0474-43C2-976E-ECB30412146A}" name="لون القماش"/>
    <tableColumn id="12" xr3:uid="{AD5B1EA2-9316-4383-BE03-475393968515}" name="وصف المنتج الكامل"/>
    <tableColumn id="13" xr3:uid="{EDC656C8-6192-4B50-BE01-6F74F293FA1F}" name="سعر البيع " dataDxfId="5" dataCellStyle="Comma"/>
    <tableColumn id="14" xr3:uid="{F77BCD8D-351F-452F-962E-A83FA4DB65D1}" name="طريقه الدفع "/>
    <tableColumn id="15" xr3:uid="{49FC0A91-1C6A-4ECB-A3AB-F8DD87646B3F}" name="ميعاد الطلب" dataDxfId="4"/>
    <tableColumn id="16" xr3:uid="{6AD339E3-CBC4-4116-935B-FC61875A2DA7}" name="ميعاد التسليم" dataDxfId="3"/>
    <tableColumn id="17" xr3:uid="{3E003EB8-C4EE-4666-BAC8-B1E3780FB59A}" name="تاريخ التسليم" dataDxfId="2"/>
    <tableColumn id="18" xr3:uid="{B748A9E8-E54B-46D9-8C25-1D831FF4CC9E}" name="المسئول عن التسليم"/>
    <tableColumn id="19" xr3:uid="{B9540C7C-9B64-4A63-BF66-083ABFFA8B18}" name="الحالة"/>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I10" sqref="I10"/>
    </sheetView>
  </sheetViews>
  <sheetFormatPr defaultRowHeight="14.4" x14ac:dyDescent="0.3"/>
  <cols>
    <col min="2" max="2" width="41.88671875" customWidth="1"/>
  </cols>
  <sheetData>
    <row r="1" spans="1:2" x14ac:dyDescent="0.3">
      <c r="A1" s="8"/>
      <c r="B1" s="8"/>
    </row>
    <row r="2" spans="1:2" x14ac:dyDescent="0.3">
      <c r="A2" s="8"/>
      <c r="B2" s="8"/>
    </row>
    <row r="3" spans="1:2" s="6" customFormat="1" ht="24.6" x14ac:dyDescent="0.4">
      <c r="A3" s="6" t="s">
        <v>277</v>
      </c>
    </row>
    <row r="4" spans="1:2" s="7" customFormat="1" ht="18" x14ac:dyDescent="0.35">
      <c r="A4" s="10" t="s">
        <v>270</v>
      </c>
      <c r="B4" s="10"/>
    </row>
    <row r="5" spans="1:2" s="3" customFormat="1" x14ac:dyDescent="0.3">
      <c r="A5" s="11"/>
      <c r="B5" s="11"/>
    </row>
    <row r="6" spans="1:2" s="5" customFormat="1" ht="17.399999999999999" x14ac:dyDescent="0.3">
      <c r="A6" s="5" t="s">
        <v>276</v>
      </c>
    </row>
    <row r="7" spans="1:2" s="4" customFormat="1" ht="15.6" x14ac:dyDescent="0.3">
      <c r="A7" s="12" t="s">
        <v>271</v>
      </c>
      <c r="B7" s="9"/>
    </row>
    <row r="8" spans="1:2" s="4" customFormat="1" ht="15.6" x14ac:dyDescent="0.3">
      <c r="A8" s="9" t="s">
        <v>272</v>
      </c>
      <c r="B8" s="9"/>
    </row>
    <row r="9" spans="1:2" s="4" customFormat="1" ht="15.6" x14ac:dyDescent="0.3">
      <c r="A9" s="9" t="s">
        <v>273</v>
      </c>
      <c r="B9" s="9"/>
    </row>
    <row r="10" spans="1:2" s="4" customFormat="1" ht="15.6" x14ac:dyDescent="0.3">
      <c r="A10" s="9" t="s">
        <v>274</v>
      </c>
      <c r="B10" s="9"/>
    </row>
    <row r="11" spans="1:2" s="9" customFormat="1" ht="15.6" x14ac:dyDescent="0.3">
      <c r="A11" s="9" t="s">
        <v>278</v>
      </c>
    </row>
    <row r="12" spans="1:2" s="4" customFormat="1" ht="15.6" x14ac:dyDescent="0.3">
      <c r="A12" s="9" t="s">
        <v>279</v>
      </c>
      <c r="B12" s="9"/>
    </row>
    <row r="13" spans="1:2" s="4" customFormat="1" ht="15.6" x14ac:dyDescent="0.3">
      <c r="A13" s="9" t="s">
        <v>275</v>
      </c>
      <c r="B13" s="9"/>
    </row>
    <row r="14" spans="1:2" s="4" customFormat="1" ht="15.6" x14ac:dyDescent="0.3">
      <c r="A14" s="9" t="s">
        <v>282</v>
      </c>
      <c r="B14" s="9"/>
    </row>
    <row r="15" spans="1:2" s="4" customFormat="1" ht="15.6" x14ac:dyDescent="0.3">
      <c r="A15" s="9" t="s">
        <v>280</v>
      </c>
      <c r="B15" s="9"/>
    </row>
    <row r="16" spans="1:2" ht="15.6" x14ac:dyDescent="0.3">
      <c r="A16" s="9" t="s">
        <v>281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7"/>
  <sheetViews>
    <sheetView rightToLeft="1" topLeftCell="C1" zoomScale="70" zoomScaleNormal="70" workbookViewId="0">
      <selection activeCell="C1" sqref="C1"/>
    </sheetView>
  </sheetViews>
  <sheetFormatPr defaultColWidth="8.88671875" defaultRowHeight="14.4" x14ac:dyDescent="0.3"/>
  <cols>
    <col min="1" max="1" width="14.109375" style="1" bestFit="1" customWidth="1"/>
    <col min="2" max="2" width="13.5546875" style="1" bestFit="1" customWidth="1"/>
    <col min="3" max="3" width="16.33203125" style="1" bestFit="1" customWidth="1"/>
    <col min="4" max="4" width="30.88671875" style="1" bestFit="1" customWidth="1"/>
    <col min="5" max="5" width="14.6640625" style="1" bestFit="1" customWidth="1"/>
    <col min="6" max="6" width="9.6640625" style="1" bestFit="1" customWidth="1"/>
    <col min="7" max="7" width="15.5546875" style="1" bestFit="1" customWidth="1"/>
    <col min="8" max="8" width="9.33203125" style="1" bestFit="1" customWidth="1"/>
    <col min="9" max="9" width="10.5546875" style="1" bestFit="1" customWidth="1"/>
    <col min="10" max="10" width="15.21875" style="1" bestFit="1" customWidth="1"/>
    <col min="11" max="11" width="14.44140625" style="1" bestFit="1" customWidth="1"/>
    <col min="12" max="12" width="36.109375" style="1" bestFit="1" customWidth="1"/>
    <col min="13" max="13" width="15" style="19" bestFit="1" customWidth="1"/>
    <col min="14" max="14" width="15.6640625" style="2" bestFit="1" customWidth="1"/>
    <col min="15" max="15" width="15.21875" style="14" bestFit="1" customWidth="1"/>
    <col min="16" max="16" width="16.109375" style="14" bestFit="1" customWidth="1"/>
    <col min="17" max="17" width="16.33203125" style="14" bestFit="1" customWidth="1"/>
    <col min="18" max="18" width="23.88671875" style="1" bestFit="1" customWidth="1"/>
    <col min="19" max="19" width="10.109375" bestFit="1" customWidth="1"/>
    <col min="20" max="16384" width="8.88671875" style="1"/>
  </cols>
  <sheetData>
    <row r="1" spans="1:19" ht="20.100000000000001" customHeight="1" x14ac:dyDescent="0.35">
      <c r="A1" s="15" t="s">
        <v>165</v>
      </c>
      <c r="B1" s="15" t="s">
        <v>166</v>
      </c>
      <c r="C1" s="15" t="s">
        <v>0</v>
      </c>
      <c r="D1" s="15" t="s">
        <v>1</v>
      </c>
      <c r="E1" s="15" t="s">
        <v>5</v>
      </c>
      <c r="F1" s="15" t="s">
        <v>2</v>
      </c>
      <c r="G1" s="15" t="s">
        <v>284</v>
      </c>
      <c r="H1" s="15" t="s">
        <v>158</v>
      </c>
      <c r="I1" s="15" t="s">
        <v>159</v>
      </c>
      <c r="J1" s="15" t="s">
        <v>163</v>
      </c>
      <c r="K1" s="15" t="s">
        <v>164</v>
      </c>
      <c r="L1" s="15" t="s">
        <v>285</v>
      </c>
      <c r="M1" s="17" t="s">
        <v>7</v>
      </c>
      <c r="N1" s="15" t="s">
        <v>8</v>
      </c>
      <c r="O1" s="16" t="s">
        <v>10</v>
      </c>
      <c r="P1" s="16" t="s">
        <v>9</v>
      </c>
      <c r="Q1" s="16" t="s">
        <v>3</v>
      </c>
      <c r="R1" s="15" t="s">
        <v>4</v>
      </c>
      <c r="S1" s="15" t="s">
        <v>172</v>
      </c>
    </row>
    <row r="2" spans="1:19" ht="20.100000000000001" customHeight="1" x14ac:dyDescent="0.3">
      <c r="A2"/>
      <c r="B2"/>
      <c r="C2" t="s">
        <v>11</v>
      </c>
      <c r="D2" t="s">
        <v>12</v>
      </c>
      <c r="E2" t="s">
        <v>6</v>
      </c>
      <c r="F2" t="s">
        <v>137</v>
      </c>
      <c r="G2" t="s">
        <v>138</v>
      </c>
      <c r="H2"/>
      <c r="I2"/>
      <c r="J2" t="s">
        <v>151</v>
      </c>
      <c r="K2" t="s">
        <v>151</v>
      </c>
      <c r="L2" t="s">
        <v>13</v>
      </c>
      <c r="M2" s="18">
        <v>10160</v>
      </c>
      <c r="N2" t="s">
        <v>14</v>
      </c>
      <c r="O2" s="13">
        <v>45500</v>
      </c>
      <c r="P2" s="13">
        <v>45481</v>
      </c>
      <c r="Q2" s="13">
        <v>45514</v>
      </c>
      <c r="R2" t="s">
        <v>176</v>
      </c>
      <c r="S2" t="s">
        <v>175</v>
      </c>
    </row>
    <row r="3" spans="1:19" ht="20.100000000000001" customHeight="1" x14ac:dyDescent="0.3">
      <c r="A3"/>
      <c r="B3"/>
      <c r="C3" t="s">
        <v>15</v>
      </c>
      <c r="D3" t="s">
        <v>16</v>
      </c>
      <c r="E3" t="s">
        <v>6</v>
      </c>
      <c r="F3" t="s">
        <v>137</v>
      </c>
      <c r="G3" t="s">
        <v>138</v>
      </c>
      <c r="H3"/>
      <c r="I3"/>
      <c r="J3" t="s">
        <v>152</v>
      </c>
      <c r="K3" t="s">
        <v>152</v>
      </c>
      <c r="L3" t="s">
        <v>17</v>
      </c>
      <c r="M3" s="18">
        <v>10160</v>
      </c>
      <c r="N3">
        <v>9749</v>
      </c>
      <c r="O3" s="13">
        <v>45501</v>
      </c>
      <c r="P3" s="13">
        <v>45511</v>
      </c>
      <c r="Q3" s="13">
        <v>45515</v>
      </c>
      <c r="R3" t="s">
        <v>176</v>
      </c>
      <c r="S3" t="s">
        <v>175</v>
      </c>
    </row>
    <row r="4" spans="1:19" ht="20.100000000000001" customHeight="1" x14ac:dyDescent="0.3">
      <c r="A4"/>
      <c r="B4"/>
      <c r="C4" t="s">
        <v>18</v>
      </c>
      <c r="D4" t="s">
        <v>19</v>
      </c>
      <c r="E4" t="s">
        <v>6</v>
      </c>
      <c r="F4" t="s">
        <v>137</v>
      </c>
      <c r="G4" t="s">
        <v>150</v>
      </c>
      <c r="H4" t="s">
        <v>142</v>
      </c>
      <c r="I4">
        <v>90</v>
      </c>
      <c r="J4" t="s">
        <v>154</v>
      </c>
      <c r="K4"/>
      <c r="L4" t="s">
        <v>20</v>
      </c>
      <c r="M4" s="18">
        <v>11455</v>
      </c>
      <c r="N4">
        <v>10067.68</v>
      </c>
      <c r="O4" s="13">
        <v>45500</v>
      </c>
      <c r="P4" s="13" t="s">
        <v>173</v>
      </c>
      <c r="Q4" s="13" t="s">
        <v>173</v>
      </c>
      <c r="R4" t="s">
        <v>31</v>
      </c>
      <c r="S4" t="s">
        <v>173</v>
      </c>
    </row>
    <row r="5" spans="1:19" ht="20.100000000000001" customHeight="1" x14ac:dyDescent="0.3">
      <c r="A5"/>
      <c r="B5"/>
      <c r="C5" t="s">
        <v>21</v>
      </c>
      <c r="D5" t="s">
        <v>22</v>
      </c>
      <c r="E5" t="s">
        <v>6</v>
      </c>
      <c r="F5" t="s">
        <v>245</v>
      </c>
      <c r="G5"/>
      <c r="H5"/>
      <c r="I5"/>
      <c r="J5" t="s">
        <v>152</v>
      </c>
      <c r="K5" t="s">
        <v>254</v>
      </c>
      <c r="L5" t="s">
        <v>23</v>
      </c>
      <c r="M5" s="18">
        <v>8642</v>
      </c>
      <c r="N5" t="s">
        <v>14</v>
      </c>
      <c r="O5" s="13">
        <v>45529</v>
      </c>
      <c r="P5" s="13">
        <v>45542</v>
      </c>
      <c r="Q5" s="13">
        <v>45531</v>
      </c>
      <c r="R5" t="s">
        <v>24</v>
      </c>
      <c r="S5" t="s">
        <v>175</v>
      </c>
    </row>
    <row r="6" spans="1:19" ht="20.100000000000001" customHeight="1" x14ac:dyDescent="0.3">
      <c r="A6"/>
      <c r="B6"/>
      <c r="C6" t="s">
        <v>25</v>
      </c>
      <c r="D6" t="s">
        <v>19</v>
      </c>
      <c r="E6" t="s">
        <v>6</v>
      </c>
      <c r="F6" t="s">
        <v>137</v>
      </c>
      <c r="G6" t="s">
        <v>150</v>
      </c>
      <c r="H6" t="s">
        <v>139</v>
      </c>
      <c r="I6">
        <v>100</v>
      </c>
      <c r="J6" t="s">
        <v>286</v>
      </c>
      <c r="K6" t="s">
        <v>286</v>
      </c>
      <c r="L6" t="s">
        <v>26</v>
      </c>
      <c r="M6" s="18">
        <v>12833</v>
      </c>
      <c r="N6">
        <v>12974.22</v>
      </c>
      <c r="O6" s="13">
        <v>45520</v>
      </c>
      <c r="P6" s="13">
        <v>45535</v>
      </c>
      <c r="Q6" s="13" t="s">
        <v>173</v>
      </c>
      <c r="R6" t="s">
        <v>31</v>
      </c>
      <c r="S6" t="s">
        <v>173</v>
      </c>
    </row>
    <row r="7" spans="1:19" ht="20.100000000000001" customHeight="1" x14ac:dyDescent="0.3">
      <c r="A7"/>
      <c r="B7"/>
      <c r="C7" t="s">
        <v>27</v>
      </c>
      <c r="D7" t="s">
        <v>196</v>
      </c>
      <c r="E7" t="s">
        <v>27</v>
      </c>
      <c r="F7" t="s">
        <v>181</v>
      </c>
      <c r="G7" t="s">
        <v>149</v>
      </c>
      <c r="H7"/>
      <c r="I7"/>
      <c r="J7" t="s">
        <v>286</v>
      </c>
      <c r="K7" t="s">
        <v>286</v>
      </c>
      <c r="L7" t="s">
        <v>28</v>
      </c>
      <c r="M7" s="18">
        <v>14550</v>
      </c>
      <c r="N7" t="s">
        <v>14</v>
      </c>
      <c r="O7" s="13">
        <v>45518</v>
      </c>
      <c r="P7" s="13">
        <v>45538</v>
      </c>
      <c r="Q7" s="13">
        <v>45540</v>
      </c>
      <c r="R7" t="s">
        <v>24</v>
      </c>
      <c r="S7" t="s">
        <v>175</v>
      </c>
    </row>
    <row r="8" spans="1:19" ht="20.100000000000001" customHeight="1" x14ac:dyDescent="0.3">
      <c r="A8"/>
      <c r="B8"/>
      <c r="C8" t="s">
        <v>29</v>
      </c>
      <c r="D8" t="s">
        <v>48</v>
      </c>
      <c r="E8" t="s">
        <v>30</v>
      </c>
      <c r="F8" t="s">
        <v>181</v>
      </c>
      <c r="G8" t="s">
        <v>149</v>
      </c>
      <c r="H8"/>
      <c r="I8"/>
      <c r="J8" t="s">
        <v>286</v>
      </c>
      <c r="K8" t="s">
        <v>286</v>
      </c>
      <c r="L8" t="s">
        <v>28</v>
      </c>
      <c r="M8" s="18">
        <v>12000</v>
      </c>
      <c r="N8">
        <v>12000</v>
      </c>
      <c r="O8" s="13">
        <v>45521</v>
      </c>
      <c r="P8" s="13">
        <v>45524</v>
      </c>
      <c r="Q8" s="13">
        <v>45523</v>
      </c>
      <c r="R8" t="s">
        <v>24</v>
      </c>
      <c r="S8" t="s">
        <v>175</v>
      </c>
    </row>
    <row r="9" spans="1:19" ht="20.100000000000001" customHeight="1" x14ac:dyDescent="0.3">
      <c r="A9"/>
      <c r="B9"/>
      <c r="C9" t="s">
        <v>32</v>
      </c>
      <c r="D9" t="s">
        <v>33</v>
      </c>
      <c r="E9" t="s">
        <v>6</v>
      </c>
      <c r="F9" t="s">
        <v>137</v>
      </c>
      <c r="G9" t="s">
        <v>140</v>
      </c>
      <c r="H9"/>
      <c r="I9"/>
      <c r="J9" t="s">
        <v>151</v>
      </c>
      <c r="K9"/>
      <c r="L9" t="s">
        <v>34</v>
      </c>
      <c r="M9" s="18">
        <v>7228</v>
      </c>
      <c r="N9" t="s">
        <v>14</v>
      </c>
      <c r="O9" s="13">
        <v>45529</v>
      </c>
      <c r="P9" s="13">
        <v>45538</v>
      </c>
      <c r="Q9" s="13">
        <v>45545</v>
      </c>
      <c r="R9" t="s">
        <v>24</v>
      </c>
      <c r="S9" t="s">
        <v>175</v>
      </c>
    </row>
    <row r="10" spans="1:19" ht="20.100000000000001" customHeight="1" x14ac:dyDescent="0.3">
      <c r="A10"/>
      <c r="B10"/>
      <c r="C10" t="s">
        <v>35</v>
      </c>
      <c r="D10" t="s">
        <v>36</v>
      </c>
      <c r="E10" t="s">
        <v>37</v>
      </c>
      <c r="F10" t="s">
        <v>144</v>
      </c>
      <c r="G10" t="s">
        <v>146</v>
      </c>
      <c r="H10"/>
      <c r="I10"/>
      <c r="J10" t="s">
        <v>152</v>
      </c>
      <c r="K10"/>
      <c r="L10" t="s">
        <v>38</v>
      </c>
      <c r="M10" s="18">
        <v>22000</v>
      </c>
      <c r="N10">
        <v>22000</v>
      </c>
      <c r="O10" s="13">
        <v>45523</v>
      </c>
      <c r="P10" s="13">
        <v>45536</v>
      </c>
      <c r="Q10" s="13">
        <v>45552</v>
      </c>
      <c r="R10" t="s">
        <v>176</v>
      </c>
      <c r="S10" t="s">
        <v>175</v>
      </c>
    </row>
    <row r="11" spans="1:19" ht="20.100000000000001" customHeight="1" x14ac:dyDescent="0.3">
      <c r="A11"/>
      <c r="B11"/>
      <c r="C11" t="s">
        <v>35</v>
      </c>
      <c r="D11" t="s">
        <v>36</v>
      </c>
      <c r="E11" t="s">
        <v>37</v>
      </c>
      <c r="F11" t="s">
        <v>181</v>
      </c>
      <c r="G11" t="s">
        <v>145</v>
      </c>
      <c r="H11"/>
      <c r="I11"/>
      <c r="J11" t="s">
        <v>152</v>
      </c>
      <c r="K11" t="s">
        <v>286</v>
      </c>
      <c r="L11" t="s">
        <v>39</v>
      </c>
      <c r="M11" s="18">
        <v>16000</v>
      </c>
      <c r="N11">
        <v>16000</v>
      </c>
      <c r="O11" s="13">
        <v>45523</v>
      </c>
      <c r="P11" s="13">
        <v>45536</v>
      </c>
      <c r="Q11" s="13" t="s">
        <v>283</v>
      </c>
      <c r="R11" t="s">
        <v>283</v>
      </c>
      <c r="S11" t="s">
        <v>204</v>
      </c>
    </row>
    <row r="12" spans="1:19" ht="20.100000000000001" customHeight="1" x14ac:dyDescent="0.3">
      <c r="A12"/>
      <c r="B12"/>
      <c r="C12" t="s">
        <v>35</v>
      </c>
      <c r="D12" t="s">
        <v>36</v>
      </c>
      <c r="E12" t="s">
        <v>37</v>
      </c>
      <c r="F12" t="s">
        <v>181</v>
      </c>
      <c r="G12" t="s">
        <v>145</v>
      </c>
      <c r="H12"/>
      <c r="I12"/>
      <c r="J12" t="s">
        <v>152</v>
      </c>
      <c r="K12" t="s">
        <v>286</v>
      </c>
      <c r="L12" t="s">
        <v>40</v>
      </c>
      <c r="M12" s="18">
        <v>6000</v>
      </c>
      <c r="N12">
        <v>12000</v>
      </c>
      <c r="O12" s="13">
        <v>45529</v>
      </c>
      <c r="P12" s="13">
        <v>45550</v>
      </c>
      <c r="Q12" s="13">
        <v>45552</v>
      </c>
      <c r="R12" t="s">
        <v>176</v>
      </c>
      <c r="S12" t="s">
        <v>175</v>
      </c>
    </row>
    <row r="13" spans="1:19" ht="20.100000000000001" customHeight="1" x14ac:dyDescent="0.3">
      <c r="A13"/>
      <c r="B13"/>
      <c r="C13" t="s">
        <v>41</v>
      </c>
      <c r="D13" t="s">
        <v>42</v>
      </c>
      <c r="E13" t="s">
        <v>6</v>
      </c>
      <c r="F13" t="s">
        <v>137</v>
      </c>
      <c r="G13" t="s">
        <v>150</v>
      </c>
      <c r="H13" t="s">
        <v>139</v>
      </c>
      <c r="I13">
        <v>80</v>
      </c>
      <c r="J13" t="s">
        <v>151</v>
      </c>
      <c r="K13"/>
      <c r="L13" t="s">
        <v>43</v>
      </c>
      <c r="M13" s="18">
        <v>10499</v>
      </c>
      <c r="N13">
        <v>8924</v>
      </c>
      <c r="O13" s="13">
        <v>45536</v>
      </c>
      <c r="P13" s="13">
        <v>45551</v>
      </c>
      <c r="Q13" s="13">
        <v>45543</v>
      </c>
      <c r="R13" t="s">
        <v>24</v>
      </c>
      <c r="S13" t="s">
        <v>175</v>
      </c>
    </row>
    <row r="14" spans="1:19" ht="20.100000000000001" customHeight="1" x14ac:dyDescent="0.3">
      <c r="A14">
        <v>1404561</v>
      </c>
      <c r="B14">
        <v>1199284</v>
      </c>
      <c r="C14" t="s">
        <v>58</v>
      </c>
      <c r="D14" t="s">
        <v>33</v>
      </c>
      <c r="E14" t="s">
        <v>6</v>
      </c>
      <c r="F14" t="s">
        <v>137</v>
      </c>
      <c r="G14" t="s">
        <v>140</v>
      </c>
      <c r="H14" t="s">
        <v>139</v>
      </c>
      <c r="I14">
        <v>80</v>
      </c>
      <c r="J14" t="s">
        <v>151</v>
      </c>
      <c r="K14"/>
      <c r="L14" t="s">
        <v>59</v>
      </c>
      <c r="M14" s="18">
        <v>7295</v>
      </c>
      <c r="N14">
        <v>5895</v>
      </c>
      <c r="O14" s="13">
        <v>45540</v>
      </c>
      <c r="P14" s="13">
        <v>45549</v>
      </c>
      <c r="Q14" s="13" t="s">
        <v>283</v>
      </c>
      <c r="R14" t="s">
        <v>283</v>
      </c>
      <c r="S14" t="s">
        <v>204</v>
      </c>
    </row>
    <row r="15" spans="1:19" ht="20.100000000000001" customHeight="1" x14ac:dyDescent="0.3">
      <c r="A15">
        <v>1401137</v>
      </c>
      <c r="B15">
        <v>1197500</v>
      </c>
      <c r="C15" t="s">
        <v>54</v>
      </c>
      <c r="D15" t="s">
        <v>55</v>
      </c>
      <c r="E15" t="s">
        <v>6</v>
      </c>
      <c r="F15" t="s">
        <v>245</v>
      </c>
      <c r="G15" t="s">
        <v>169</v>
      </c>
      <c r="H15"/>
      <c r="I15"/>
      <c r="J15" t="s">
        <v>152</v>
      </c>
      <c r="K15" t="s">
        <v>254</v>
      </c>
      <c r="L15" t="s">
        <v>56</v>
      </c>
      <c r="M15" s="18">
        <v>7849</v>
      </c>
      <c r="N15" t="s">
        <v>14</v>
      </c>
      <c r="O15" s="13">
        <v>45539</v>
      </c>
      <c r="P15" s="13">
        <v>45551</v>
      </c>
      <c r="Q15" s="13">
        <v>45560</v>
      </c>
      <c r="R15" t="s">
        <v>24</v>
      </c>
      <c r="S15" t="s">
        <v>183</v>
      </c>
    </row>
    <row r="16" spans="1:19" ht="20.100000000000001" customHeight="1" x14ac:dyDescent="0.3">
      <c r="A16"/>
      <c r="B16"/>
      <c r="C16" t="s">
        <v>47</v>
      </c>
      <c r="D16" t="s">
        <v>48</v>
      </c>
      <c r="E16" t="s">
        <v>49</v>
      </c>
      <c r="F16" t="s">
        <v>137</v>
      </c>
      <c r="G16" t="s">
        <v>150</v>
      </c>
      <c r="H16" t="s">
        <v>142</v>
      </c>
      <c r="I16">
        <v>120</v>
      </c>
      <c r="J16" t="s">
        <v>152</v>
      </c>
      <c r="K16"/>
      <c r="L16" t="s">
        <v>50</v>
      </c>
      <c r="M16" s="18">
        <v>6180</v>
      </c>
      <c r="N16">
        <v>9700</v>
      </c>
      <c r="O16" s="13">
        <v>45538</v>
      </c>
      <c r="P16" s="13">
        <v>45551</v>
      </c>
      <c r="Q16" s="13">
        <v>45550</v>
      </c>
      <c r="R16" t="s">
        <v>176</v>
      </c>
      <c r="S16" t="s">
        <v>175</v>
      </c>
    </row>
    <row r="17" spans="1:19" ht="20.100000000000001" customHeight="1" x14ac:dyDescent="0.3">
      <c r="A17">
        <v>1400149</v>
      </c>
      <c r="B17">
        <v>1196947</v>
      </c>
      <c r="C17" t="s">
        <v>51</v>
      </c>
      <c r="D17" t="s">
        <v>52</v>
      </c>
      <c r="E17" t="s">
        <v>6</v>
      </c>
      <c r="F17" t="s">
        <v>137</v>
      </c>
      <c r="G17" t="s">
        <v>150</v>
      </c>
      <c r="H17" t="s">
        <v>141</v>
      </c>
      <c r="I17">
        <v>80</v>
      </c>
      <c r="J17" t="s">
        <v>151</v>
      </c>
      <c r="K17"/>
      <c r="L17" t="s">
        <v>53</v>
      </c>
      <c r="M17" s="18">
        <v>11199</v>
      </c>
      <c r="N17">
        <v>11310</v>
      </c>
      <c r="O17" s="13">
        <v>45539</v>
      </c>
      <c r="P17" s="13">
        <v>45553</v>
      </c>
      <c r="Q17" s="13" t="s">
        <v>283</v>
      </c>
      <c r="R17" t="s">
        <v>283</v>
      </c>
      <c r="S17" t="s">
        <v>204</v>
      </c>
    </row>
    <row r="18" spans="1:19" ht="20.100000000000001" customHeight="1" x14ac:dyDescent="0.3">
      <c r="A18">
        <v>1408099</v>
      </c>
      <c r="B18">
        <v>1201057</v>
      </c>
      <c r="C18" t="s">
        <v>29</v>
      </c>
      <c r="D18" t="s">
        <v>60</v>
      </c>
      <c r="E18" t="s">
        <v>6</v>
      </c>
      <c r="F18" t="s">
        <v>137</v>
      </c>
      <c r="G18" t="s">
        <v>140</v>
      </c>
      <c r="H18" t="s">
        <v>161</v>
      </c>
      <c r="I18">
        <v>80</v>
      </c>
      <c r="J18" t="s">
        <v>151</v>
      </c>
      <c r="K18"/>
      <c r="L18" t="s">
        <v>61</v>
      </c>
      <c r="M18" s="18">
        <v>7987</v>
      </c>
      <c r="N18" t="s">
        <v>14</v>
      </c>
      <c r="O18" s="13">
        <v>45541</v>
      </c>
      <c r="P18" s="13">
        <v>45551</v>
      </c>
      <c r="Q18" s="13">
        <v>45556</v>
      </c>
      <c r="R18" t="s">
        <v>176</v>
      </c>
      <c r="S18" t="s">
        <v>175</v>
      </c>
    </row>
    <row r="19" spans="1:19" ht="20.100000000000001" customHeight="1" x14ac:dyDescent="0.3">
      <c r="A19"/>
      <c r="B19"/>
      <c r="C19" t="s">
        <v>37</v>
      </c>
      <c r="D19" t="s">
        <v>36</v>
      </c>
      <c r="E19" t="s">
        <v>37</v>
      </c>
      <c r="F19" t="s">
        <v>147</v>
      </c>
      <c r="G19" t="s">
        <v>148</v>
      </c>
      <c r="H19"/>
      <c r="I19"/>
      <c r="J19" t="s">
        <v>152</v>
      </c>
      <c r="K19" t="s">
        <v>152</v>
      </c>
      <c r="L19" t="s">
        <v>57</v>
      </c>
      <c r="M19" s="18">
        <v>9300</v>
      </c>
      <c r="N19">
        <v>9300</v>
      </c>
      <c r="O19" s="13">
        <v>45539</v>
      </c>
      <c r="P19" s="13">
        <v>45550</v>
      </c>
      <c r="Q19" s="13">
        <v>45552</v>
      </c>
      <c r="R19" t="s">
        <v>176</v>
      </c>
      <c r="S19" t="s">
        <v>175</v>
      </c>
    </row>
    <row r="20" spans="1:19" ht="20.100000000000001" customHeight="1" x14ac:dyDescent="0.3">
      <c r="A20">
        <v>1408098</v>
      </c>
      <c r="B20">
        <v>1201057</v>
      </c>
      <c r="C20" t="s">
        <v>29</v>
      </c>
      <c r="D20" t="s">
        <v>60</v>
      </c>
      <c r="E20" t="s">
        <v>6</v>
      </c>
      <c r="F20" t="s">
        <v>137</v>
      </c>
      <c r="G20" t="s">
        <v>140</v>
      </c>
      <c r="H20" t="s">
        <v>161</v>
      </c>
      <c r="I20">
        <v>80</v>
      </c>
      <c r="J20" t="s">
        <v>151</v>
      </c>
      <c r="K20"/>
      <c r="L20" t="s">
        <v>61</v>
      </c>
      <c r="M20" s="18">
        <v>7987</v>
      </c>
      <c r="N20" t="s">
        <v>14</v>
      </c>
      <c r="O20" s="13">
        <v>45541</v>
      </c>
      <c r="P20" s="13">
        <v>45551</v>
      </c>
      <c r="Q20" s="13">
        <v>45556</v>
      </c>
      <c r="R20" t="s">
        <v>176</v>
      </c>
      <c r="S20" t="s">
        <v>175</v>
      </c>
    </row>
    <row r="21" spans="1:19" ht="20.100000000000001" customHeight="1" x14ac:dyDescent="0.3">
      <c r="A21">
        <v>1408100</v>
      </c>
      <c r="B21">
        <v>1201057</v>
      </c>
      <c r="C21" t="s">
        <v>29</v>
      </c>
      <c r="D21" t="s">
        <v>60</v>
      </c>
      <c r="E21" t="s">
        <v>6</v>
      </c>
      <c r="F21" t="s">
        <v>137</v>
      </c>
      <c r="G21" t="s">
        <v>140</v>
      </c>
      <c r="H21" t="s">
        <v>161</v>
      </c>
      <c r="I21">
        <v>80</v>
      </c>
      <c r="J21" t="s">
        <v>151</v>
      </c>
      <c r="K21"/>
      <c r="L21" t="s">
        <v>61</v>
      </c>
      <c r="M21" s="18">
        <v>7987</v>
      </c>
      <c r="N21" t="s">
        <v>14</v>
      </c>
      <c r="O21" s="13">
        <v>45541</v>
      </c>
      <c r="P21" s="13">
        <v>45551</v>
      </c>
      <c r="Q21" s="13">
        <v>45556</v>
      </c>
      <c r="R21" t="s">
        <v>176</v>
      </c>
      <c r="S21" t="s">
        <v>175</v>
      </c>
    </row>
    <row r="22" spans="1:19" ht="20.100000000000001" customHeight="1" x14ac:dyDescent="0.3">
      <c r="A22">
        <v>1408101</v>
      </c>
      <c r="B22">
        <v>1201057</v>
      </c>
      <c r="C22" t="s">
        <v>29</v>
      </c>
      <c r="D22" t="s">
        <v>60</v>
      </c>
      <c r="E22" t="s">
        <v>6</v>
      </c>
      <c r="F22" t="s">
        <v>137</v>
      </c>
      <c r="G22" t="s">
        <v>140</v>
      </c>
      <c r="H22" t="s">
        <v>161</v>
      </c>
      <c r="I22">
        <v>80</v>
      </c>
      <c r="J22" t="s">
        <v>151</v>
      </c>
      <c r="K22"/>
      <c r="L22" t="s">
        <v>61</v>
      </c>
      <c r="M22" s="18">
        <v>7987</v>
      </c>
      <c r="N22" t="s">
        <v>14</v>
      </c>
      <c r="O22" s="13">
        <v>45541</v>
      </c>
      <c r="P22" s="13">
        <v>45551</v>
      </c>
      <c r="Q22" s="13">
        <v>45556</v>
      </c>
      <c r="R22" t="s">
        <v>176</v>
      </c>
      <c r="S22" t="s">
        <v>175</v>
      </c>
    </row>
    <row r="23" spans="1:19" ht="20.100000000000001" customHeight="1" x14ac:dyDescent="0.3">
      <c r="A23">
        <v>1513856</v>
      </c>
      <c r="B23">
        <v>1231946</v>
      </c>
      <c r="C23" t="s">
        <v>96</v>
      </c>
      <c r="D23" t="s">
        <v>97</v>
      </c>
      <c r="E23" t="s">
        <v>6</v>
      </c>
      <c r="F23" t="s">
        <v>245</v>
      </c>
      <c r="G23" t="s">
        <v>169</v>
      </c>
      <c r="H23"/>
      <c r="I23"/>
      <c r="J23" t="s">
        <v>152</v>
      </c>
      <c r="K23" t="s">
        <v>254</v>
      </c>
      <c r="L23" t="s">
        <v>56</v>
      </c>
      <c r="M23" s="18">
        <v>8849</v>
      </c>
      <c r="N23" t="s">
        <v>14</v>
      </c>
      <c r="O23" s="13">
        <v>45538</v>
      </c>
      <c r="P23" s="13">
        <v>45581</v>
      </c>
      <c r="Q23" s="13" t="s">
        <v>283</v>
      </c>
      <c r="R23" t="s">
        <v>283</v>
      </c>
      <c r="S23" t="s">
        <v>204</v>
      </c>
    </row>
    <row r="24" spans="1:19" ht="20.100000000000001" customHeight="1" x14ac:dyDescent="0.3">
      <c r="A24">
        <v>1411691</v>
      </c>
      <c r="B24">
        <v>1202775</v>
      </c>
      <c r="C24" t="s">
        <v>62</v>
      </c>
      <c r="D24" t="s">
        <v>33</v>
      </c>
      <c r="E24" t="s">
        <v>6</v>
      </c>
      <c r="F24" t="s">
        <v>137</v>
      </c>
      <c r="G24" t="s">
        <v>140</v>
      </c>
      <c r="H24" t="s">
        <v>143</v>
      </c>
      <c r="I24">
        <v>120</v>
      </c>
      <c r="J24" t="s">
        <v>151</v>
      </c>
      <c r="K24"/>
      <c r="L24" t="s">
        <v>63</v>
      </c>
      <c r="M24" s="18">
        <v>10987</v>
      </c>
      <c r="N24" t="s">
        <v>14</v>
      </c>
      <c r="O24" s="13">
        <v>45544</v>
      </c>
      <c r="P24" s="13">
        <v>45552</v>
      </c>
      <c r="Q24" s="13">
        <v>45556</v>
      </c>
      <c r="R24" t="s">
        <v>176</v>
      </c>
      <c r="S24" t="s">
        <v>175</v>
      </c>
    </row>
    <row r="25" spans="1:19" ht="20.100000000000001" customHeight="1" x14ac:dyDescent="0.3">
      <c r="A25"/>
      <c r="B25"/>
      <c r="C25" t="s">
        <v>27</v>
      </c>
      <c r="D25" t="s">
        <v>33</v>
      </c>
      <c r="E25" t="s">
        <v>27</v>
      </c>
      <c r="F25" t="s">
        <v>137</v>
      </c>
      <c r="G25" t="s">
        <v>150</v>
      </c>
      <c r="H25" t="s">
        <v>141</v>
      </c>
      <c r="I25">
        <v>100</v>
      </c>
      <c r="J25" t="s">
        <v>151</v>
      </c>
      <c r="K25"/>
      <c r="L25" t="s">
        <v>44</v>
      </c>
      <c r="M25" s="18">
        <v>9208</v>
      </c>
      <c r="N25">
        <v>5781.75</v>
      </c>
      <c r="O25" s="13">
        <v>45536</v>
      </c>
      <c r="P25" s="13">
        <v>45554</v>
      </c>
      <c r="Q25" s="13">
        <v>45556</v>
      </c>
      <c r="R25" t="s">
        <v>176</v>
      </c>
      <c r="S25" t="s">
        <v>175</v>
      </c>
    </row>
    <row r="26" spans="1:19" ht="20.100000000000001" customHeight="1" x14ac:dyDescent="0.3">
      <c r="A26"/>
      <c r="B26"/>
      <c r="C26" t="s">
        <v>27</v>
      </c>
      <c r="D26" t="s">
        <v>33</v>
      </c>
      <c r="E26" t="s">
        <v>27</v>
      </c>
      <c r="F26" t="s">
        <v>137</v>
      </c>
      <c r="G26" t="s">
        <v>150</v>
      </c>
      <c r="H26" t="s">
        <v>141</v>
      </c>
      <c r="I26">
        <v>100</v>
      </c>
      <c r="J26" t="s">
        <v>152</v>
      </c>
      <c r="K26"/>
      <c r="L26" t="s">
        <v>46</v>
      </c>
      <c r="M26" s="18">
        <v>9208</v>
      </c>
      <c r="N26">
        <v>1278.53</v>
      </c>
      <c r="O26" s="13">
        <v>45536</v>
      </c>
      <c r="P26" s="13">
        <v>45554</v>
      </c>
      <c r="Q26" s="13">
        <v>45556</v>
      </c>
      <c r="R26" t="s">
        <v>176</v>
      </c>
      <c r="S26" t="s">
        <v>175</v>
      </c>
    </row>
    <row r="27" spans="1:19" ht="20.100000000000001" customHeight="1" x14ac:dyDescent="0.3">
      <c r="A27"/>
      <c r="B27"/>
      <c r="C27" t="s">
        <v>75</v>
      </c>
      <c r="D27" t="s">
        <v>76</v>
      </c>
      <c r="E27" t="s">
        <v>49</v>
      </c>
      <c r="F27" t="s">
        <v>137</v>
      </c>
      <c r="G27" t="s">
        <v>140</v>
      </c>
      <c r="H27" t="s">
        <v>161</v>
      </c>
      <c r="I27">
        <v>120</v>
      </c>
      <c r="J27" t="s">
        <v>151</v>
      </c>
      <c r="K27"/>
      <c r="L27" t="s">
        <v>79</v>
      </c>
      <c r="M27" s="18">
        <v>4020</v>
      </c>
      <c r="N27" t="s">
        <v>77</v>
      </c>
      <c r="O27" s="13">
        <v>45547</v>
      </c>
      <c r="P27" s="13">
        <v>45556</v>
      </c>
      <c r="Q27" s="13">
        <v>45557</v>
      </c>
      <c r="R27" t="s">
        <v>176</v>
      </c>
      <c r="S27" t="s">
        <v>175</v>
      </c>
    </row>
    <row r="28" spans="1:19" ht="20.100000000000001" customHeight="1" x14ac:dyDescent="0.3">
      <c r="A28"/>
      <c r="B28"/>
      <c r="C28" t="s">
        <v>75</v>
      </c>
      <c r="D28" t="s">
        <v>76</v>
      </c>
      <c r="E28" t="s">
        <v>49</v>
      </c>
      <c r="F28" t="s">
        <v>137</v>
      </c>
      <c r="G28" t="s">
        <v>140</v>
      </c>
      <c r="H28" t="s">
        <v>153</v>
      </c>
      <c r="I28">
        <v>120</v>
      </c>
      <c r="J28" t="s">
        <v>152</v>
      </c>
      <c r="K28"/>
      <c r="L28" t="s">
        <v>78</v>
      </c>
      <c r="M28" s="18">
        <v>4020</v>
      </c>
      <c r="N28" t="s">
        <v>104</v>
      </c>
      <c r="O28" s="13">
        <v>45547</v>
      </c>
      <c r="P28" s="13">
        <v>45556</v>
      </c>
      <c r="Q28" s="13">
        <v>45557</v>
      </c>
      <c r="R28" t="s">
        <v>176</v>
      </c>
      <c r="S28" t="s">
        <v>175</v>
      </c>
    </row>
    <row r="29" spans="1:19" ht="20.100000000000001" customHeight="1" x14ac:dyDescent="0.3">
      <c r="A29">
        <v>1509211</v>
      </c>
      <c r="B29">
        <v>1230837</v>
      </c>
      <c r="C29" t="s">
        <v>131</v>
      </c>
      <c r="D29" t="s">
        <v>132</v>
      </c>
      <c r="E29" t="s">
        <v>6</v>
      </c>
      <c r="F29" t="s">
        <v>137</v>
      </c>
      <c r="G29" t="s">
        <v>138</v>
      </c>
      <c r="H29"/>
      <c r="I29"/>
      <c r="J29" t="s">
        <v>152</v>
      </c>
      <c r="K29" t="s">
        <v>152</v>
      </c>
      <c r="L29" t="s">
        <v>133</v>
      </c>
      <c r="M29" s="18">
        <v>9399</v>
      </c>
      <c r="N29" t="s">
        <v>104</v>
      </c>
      <c r="O29" s="13">
        <v>45549</v>
      </c>
      <c r="P29" s="13">
        <v>45557</v>
      </c>
      <c r="Q29" s="13" t="s">
        <v>173</v>
      </c>
      <c r="R29" t="s">
        <v>31</v>
      </c>
      <c r="S29" t="s">
        <v>173</v>
      </c>
    </row>
    <row r="30" spans="1:19" ht="20.100000000000001" customHeight="1" x14ac:dyDescent="0.3">
      <c r="A30">
        <v>1536687</v>
      </c>
      <c r="B30">
        <v>1237682</v>
      </c>
      <c r="C30" t="s">
        <v>134</v>
      </c>
      <c r="D30" t="s">
        <v>135</v>
      </c>
      <c r="E30" t="s">
        <v>6</v>
      </c>
      <c r="F30" t="s">
        <v>245</v>
      </c>
      <c r="G30" t="s">
        <v>171</v>
      </c>
      <c r="H30"/>
      <c r="I30"/>
      <c r="J30" t="s">
        <v>152</v>
      </c>
      <c r="K30" t="s">
        <v>254</v>
      </c>
      <c r="L30" t="s">
        <v>136</v>
      </c>
      <c r="M30" s="18">
        <v>8349</v>
      </c>
      <c r="N30" t="s">
        <v>104</v>
      </c>
      <c r="O30" s="13">
        <v>45549</v>
      </c>
      <c r="P30" s="13">
        <v>45557</v>
      </c>
      <c r="Q30" s="13">
        <v>45559</v>
      </c>
      <c r="R30" t="s">
        <v>24</v>
      </c>
      <c r="S30" t="s">
        <v>175</v>
      </c>
    </row>
    <row r="31" spans="1:19" ht="20.100000000000001" customHeight="1" x14ac:dyDescent="0.3">
      <c r="A31">
        <v>1520537</v>
      </c>
      <c r="B31">
        <v>1233624</v>
      </c>
      <c r="C31" t="s">
        <v>94</v>
      </c>
      <c r="D31" t="s">
        <v>33</v>
      </c>
      <c r="E31" t="s">
        <v>6</v>
      </c>
      <c r="F31" t="s">
        <v>137</v>
      </c>
      <c r="G31" t="s">
        <v>138</v>
      </c>
      <c r="H31"/>
      <c r="I31"/>
      <c r="J31" t="s">
        <v>152</v>
      </c>
      <c r="K31" t="s">
        <v>152</v>
      </c>
      <c r="L31" t="s">
        <v>95</v>
      </c>
      <c r="M31" s="18">
        <v>9399</v>
      </c>
      <c r="N31" t="s">
        <v>14</v>
      </c>
      <c r="O31" s="13">
        <v>45548</v>
      </c>
      <c r="P31" s="13">
        <v>45559</v>
      </c>
      <c r="Q31" s="13">
        <v>45565</v>
      </c>
      <c r="R31" t="s">
        <v>24</v>
      </c>
      <c r="S31" t="s">
        <v>175</v>
      </c>
    </row>
    <row r="32" spans="1:19" ht="20.100000000000001" customHeight="1" x14ac:dyDescent="0.3">
      <c r="A32">
        <v>1422998</v>
      </c>
      <c r="B32">
        <v>1207350</v>
      </c>
      <c r="C32" t="s">
        <v>64</v>
      </c>
      <c r="D32" t="s">
        <v>65</v>
      </c>
      <c r="E32" t="s">
        <v>6</v>
      </c>
      <c r="F32" t="s">
        <v>245</v>
      </c>
      <c r="G32" t="s">
        <v>169</v>
      </c>
      <c r="H32"/>
      <c r="I32"/>
      <c r="J32" t="s">
        <v>152</v>
      </c>
      <c r="K32" t="s">
        <v>254</v>
      </c>
      <c r="L32" t="s">
        <v>56</v>
      </c>
      <c r="M32" s="18">
        <v>7849</v>
      </c>
      <c r="N32">
        <v>7928</v>
      </c>
      <c r="O32" s="13">
        <v>45547</v>
      </c>
      <c r="P32" s="13">
        <v>45561</v>
      </c>
      <c r="Q32" s="13">
        <v>45549</v>
      </c>
      <c r="R32" t="s">
        <v>24</v>
      </c>
      <c r="S32" t="s">
        <v>175</v>
      </c>
    </row>
    <row r="33" spans="1:19" ht="20.100000000000001" customHeight="1" x14ac:dyDescent="0.3">
      <c r="A33"/>
      <c r="B33"/>
      <c r="C33" t="s">
        <v>72</v>
      </c>
      <c r="D33" t="s">
        <v>73</v>
      </c>
      <c r="E33" t="s">
        <v>30</v>
      </c>
      <c r="F33" t="s">
        <v>137</v>
      </c>
      <c r="G33" t="s">
        <v>155</v>
      </c>
      <c r="H33" t="s">
        <v>142</v>
      </c>
      <c r="I33">
        <v>100</v>
      </c>
      <c r="J33" t="s">
        <v>152</v>
      </c>
      <c r="K33"/>
      <c r="L33" t="s">
        <v>74</v>
      </c>
      <c r="M33" s="18">
        <v>9450</v>
      </c>
      <c r="N33">
        <v>9450</v>
      </c>
      <c r="O33" s="13">
        <v>45547</v>
      </c>
      <c r="P33" s="13">
        <v>45561</v>
      </c>
      <c r="Q33" s="13" t="s">
        <v>283</v>
      </c>
      <c r="R33" t="s">
        <v>283</v>
      </c>
      <c r="S33" t="s">
        <v>204</v>
      </c>
    </row>
    <row r="34" spans="1:19" ht="20.100000000000001" customHeight="1" x14ac:dyDescent="0.3">
      <c r="A34">
        <v>1459790</v>
      </c>
      <c r="B34">
        <v>1218257</v>
      </c>
      <c r="C34" t="s">
        <v>86</v>
      </c>
      <c r="D34" t="s">
        <v>60</v>
      </c>
      <c r="E34" t="s">
        <v>6</v>
      </c>
      <c r="F34" t="s">
        <v>137</v>
      </c>
      <c r="G34" t="s">
        <v>140</v>
      </c>
      <c r="H34" t="s">
        <v>143</v>
      </c>
      <c r="I34">
        <v>120</v>
      </c>
      <c r="J34" t="s">
        <v>152</v>
      </c>
      <c r="K34"/>
      <c r="L34" t="s">
        <v>87</v>
      </c>
      <c r="M34" s="18">
        <v>7460</v>
      </c>
      <c r="N34" t="s">
        <v>14</v>
      </c>
      <c r="O34" s="13">
        <v>45548</v>
      </c>
      <c r="P34" s="13">
        <v>45561</v>
      </c>
      <c r="Q34" s="13">
        <v>45568</v>
      </c>
      <c r="R34" t="s">
        <v>176</v>
      </c>
      <c r="S34" t="s">
        <v>175</v>
      </c>
    </row>
    <row r="35" spans="1:19" ht="20.100000000000001" customHeight="1" x14ac:dyDescent="0.3">
      <c r="A35">
        <v>1455486</v>
      </c>
      <c r="B35">
        <v>1217163</v>
      </c>
      <c r="C35" t="s">
        <v>90</v>
      </c>
      <c r="D35" t="s">
        <v>60</v>
      </c>
      <c r="E35" t="s">
        <v>6</v>
      </c>
      <c r="F35" t="s">
        <v>137</v>
      </c>
      <c r="G35" t="s">
        <v>140</v>
      </c>
      <c r="H35" t="s">
        <v>162</v>
      </c>
      <c r="I35">
        <v>140</v>
      </c>
      <c r="J35" t="s">
        <v>160</v>
      </c>
      <c r="K35" t="s">
        <v>156</v>
      </c>
      <c r="L35" t="s">
        <v>91</v>
      </c>
      <c r="M35" s="18">
        <v>9528</v>
      </c>
      <c r="N35" t="s">
        <v>14</v>
      </c>
      <c r="O35" s="13">
        <v>45548</v>
      </c>
      <c r="P35" s="13">
        <v>45561</v>
      </c>
      <c r="Q35" s="13">
        <v>45568</v>
      </c>
      <c r="R35" t="s">
        <v>176</v>
      </c>
      <c r="S35" t="s">
        <v>175</v>
      </c>
    </row>
    <row r="36" spans="1:19" ht="20.100000000000001" customHeight="1" x14ac:dyDescent="0.3">
      <c r="A36">
        <v>1504407</v>
      </c>
      <c r="B36">
        <v>1229760</v>
      </c>
      <c r="C36" t="s">
        <v>129</v>
      </c>
      <c r="D36" t="s">
        <v>33</v>
      </c>
      <c r="E36" t="s">
        <v>6</v>
      </c>
      <c r="F36" t="s">
        <v>137</v>
      </c>
      <c r="G36" t="s">
        <v>150</v>
      </c>
      <c r="H36" t="s">
        <v>142</v>
      </c>
      <c r="I36">
        <v>120</v>
      </c>
      <c r="J36" t="s">
        <v>286</v>
      </c>
      <c r="K36" t="s">
        <v>286</v>
      </c>
      <c r="L36" t="s">
        <v>130</v>
      </c>
      <c r="M36" s="18">
        <v>12999</v>
      </c>
      <c r="N36" t="s">
        <v>14</v>
      </c>
      <c r="O36" s="13">
        <v>45549</v>
      </c>
      <c r="P36" s="13">
        <v>45562</v>
      </c>
      <c r="Q36" s="13">
        <v>45567</v>
      </c>
      <c r="R36" t="s">
        <v>176</v>
      </c>
      <c r="S36" t="s">
        <v>175</v>
      </c>
    </row>
    <row r="37" spans="1:19" ht="20.100000000000001" customHeight="1" x14ac:dyDescent="0.3">
      <c r="A37">
        <v>1423361</v>
      </c>
      <c r="B37">
        <v>1207484</v>
      </c>
      <c r="C37" t="s">
        <v>66</v>
      </c>
      <c r="D37" t="s">
        <v>67</v>
      </c>
      <c r="E37" t="s">
        <v>6</v>
      </c>
      <c r="F37" t="s">
        <v>137</v>
      </c>
      <c r="G37" t="s">
        <v>150</v>
      </c>
      <c r="H37" t="s">
        <v>139</v>
      </c>
      <c r="I37">
        <v>90</v>
      </c>
      <c r="J37" t="s">
        <v>152</v>
      </c>
      <c r="K37"/>
      <c r="L37" t="s">
        <v>70</v>
      </c>
      <c r="M37" s="18">
        <v>5999</v>
      </c>
      <c r="N37" t="s">
        <v>14</v>
      </c>
      <c r="O37" s="13">
        <v>45547</v>
      </c>
      <c r="P37" s="13">
        <v>45564</v>
      </c>
      <c r="Q37" s="13" t="s">
        <v>283</v>
      </c>
      <c r="R37" t="s">
        <v>283</v>
      </c>
      <c r="S37" t="s">
        <v>204</v>
      </c>
    </row>
    <row r="38" spans="1:19" ht="20.100000000000001" customHeight="1" x14ac:dyDescent="0.3">
      <c r="A38">
        <v>1415725</v>
      </c>
      <c r="B38">
        <v>1204732</v>
      </c>
      <c r="C38" t="s">
        <v>68</v>
      </c>
      <c r="D38" t="s">
        <v>69</v>
      </c>
      <c r="E38" t="s">
        <v>6</v>
      </c>
      <c r="F38" t="s">
        <v>137</v>
      </c>
      <c r="G38" t="s">
        <v>150</v>
      </c>
      <c r="H38" t="s">
        <v>142</v>
      </c>
      <c r="I38">
        <v>100</v>
      </c>
      <c r="J38" t="s">
        <v>152</v>
      </c>
      <c r="K38"/>
      <c r="L38" t="s">
        <v>71</v>
      </c>
      <c r="M38" s="18">
        <v>11949</v>
      </c>
      <c r="N38">
        <v>10749</v>
      </c>
      <c r="O38" s="13">
        <v>45547</v>
      </c>
      <c r="P38" s="13">
        <v>45564</v>
      </c>
      <c r="Q38" s="13">
        <v>45567</v>
      </c>
      <c r="R38" t="s">
        <v>176</v>
      </c>
      <c r="S38" t="s">
        <v>175</v>
      </c>
    </row>
    <row r="39" spans="1:19" ht="20.100000000000001" customHeight="1" x14ac:dyDescent="0.3">
      <c r="A39">
        <v>1415726</v>
      </c>
      <c r="B39">
        <v>1204732</v>
      </c>
      <c r="C39" t="s">
        <v>68</v>
      </c>
      <c r="D39" t="s">
        <v>69</v>
      </c>
      <c r="E39" t="s">
        <v>6</v>
      </c>
      <c r="F39" t="s">
        <v>137</v>
      </c>
      <c r="G39" t="s">
        <v>150</v>
      </c>
      <c r="H39" t="s">
        <v>142</v>
      </c>
      <c r="I39">
        <v>100</v>
      </c>
      <c r="J39" t="s">
        <v>152</v>
      </c>
      <c r="K39"/>
      <c r="L39" t="s">
        <v>71</v>
      </c>
      <c r="M39" s="18">
        <v>11949</v>
      </c>
      <c r="N39">
        <v>10749</v>
      </c>
      <c r="O39" s="13">
        <v>45547</v>
      </c>
      <c r="P39" s="13">
        <v>45564</v>
      </c>
      <c r="Q39" s="13">
        <v>45567</v>
      </c>
      <c r="R39" t="s">
        <v>176</v>
      </c>
      <c r="S39" t="s">
        <v>175</v>
      </c>
    </row>
    <row r="40" spans="1:19" ht="20.100000000000001" customHeight="1" x14ac:dyDescent="0.3">
      <c r="A40">
        <v>1499397</v>
      </c>
      <c r="B40">
        <v>1228586</v>
      </c>
      <c r="C40" t="s">
        <v>29</v>
      </c>
      <c r="D40" t="s">
        <v>67</v>
      </c>
      <c r="E40" t="s">
        <v>6</v>
      </c>
      <c r="F40" t="s">
        <v>137</v>
      </c>
      <c r="G40" t="s">
        <v>155</v>
      </c>
      <c r="H40" t="s">
        <v>142</v>
      </c>
      <c r="I40">
        <v>80</v>
      </c>
      <c r="J40" t="s">
        <v>151</v>
      </c>
      <c r="K40"/>
      <c r="L40" t="s">
        <v>82</v>
      </c>
      <c r="M40" s="18">
        <v>16599</v>
      </c>
      <c r="N40" t="s">
        <v>14</v>
      </c>
      <c r="O40" s="13">
        <v>45548</v>
      </c>
      <c r="P40" s="13">
        <v>45565</v>
      </c>
      <c r="Q40" s="13">
        <v>45568</v>
      </c>
      <c r="R40" t="s">
        <v>176</v>
      </c>
      <c r="S40" t="s">
        <v>175</v>
      </c>
    </row>
    <row r="41" spans="1:19" ht="20.100000000000001" customHeight="1" x14ac:dyDescent="0.3">
      <c r="A41">
        <v>1458696</v>
      </c>
      <c r="B41">
        <v>1217982</v>
      </c>
      <c r="C41" t="s">
        <v>80</v>
      </c>
      <c r="D41" t="s">
        <v>22</v>
      </c>
      <c r="E41" t="s">
        <v>6</v>
      </c>
      <c r="F41" t="s">
        <v>137</v>
      </c>
      <c r="G41" t="s">
        <v>150</v>
      </c>
      <c r="H41" t="s">
        <v>142</v>
      </c>
      <c r="I41">
        <v>80</v>
      </c>
      <c r="J41" t="s">
        <v>151</v>
      </c>
      <c r="K41"/>
      <c r="L41" t="s">
        <v>81</v>
      </c>
      <c r="M41" s="18">
        <v>10999</v>
      </c>
      <c r="N41" t="s">
        <v>14</v>
      </c>
      <c r="O41" s="13">
        <v>45548</v>
      </c>
      <c r="P41" s="13">
        <v>45565</v>
      </c>
      <c r="Q41" s="13">
        <v>45581</v>
      </c>
      <c r="R41" t="s">
        <v>24</v>
      </c>
      <c r="S41" t="s">
        <v>175</v>
      </c>
    </row>
    <row r="42" spans="1:19" ht="20.100000000000001" customHeight="1" x14ac:dyDescent="0.3">
      <c r="A42">
        <v>1480814</v>
      </c>
      <c r="B42">
        <v>1223964</v>
      </c>
      <c r="C42" t="s">
        <v>83</v>
      </c>
      <c r="D42" t="s">
        <v>84</v>
      </c>
      <c r="E42" t="s">
        <v>6</v>
      </c>
      <c r="F42" t="s">
        <v>137</v>
      </c>
      <c r="G42" t="s">
        <v>150</v>
      </c>
      <c r="H42" t="s">
        <v>142</v>
      </c>
      <c r="I42">
        <v>140</v>
      </c>
      <c r="J42" t="s">
        <v>154</v>
      </c>
      <c r="K42"/>
      <c r="L42" t="s">
        <v>85</v>
      </c>
      <c r="M42" s="18">
        <v>13099</v>
      </c>
      <c r="N42" t="s">
        <v>14</v>
      </c>
      <c r="O42" s="13">
        <v>45548</v>
      </c>
      <c r="P42" s="13">
        <v>45565</v>
      </c>
      <c r="Q42" s="13">
        <v>45568</v>
      </c>
      <c r="R42" t="s">
        <v>24</v>
      </c>
      <c r="S42" t="s">
        <v>175</v>
      </c>
    </row>
    <row r="43" spans="1:19" ht="20.100000000000001" customHeight="1" x14ac:dyDescent="0.3">
      <c r="A43">
        <v>1492471</v>
      </c>
      <c r="B43">
        <v>1227052</v>
      </c>
      <c r="C43" t="s">
        <v>88</v>
      </c>
      <c r="D43" t="s">
        <v>33</v>
      </c>
      <c r="E43" t="s">
        <v>6</v>
      </c>
      <c r="F43" t="s">
        <v>137</v>
      </c>
      <c r="G43" t="s">
        <v>150</v>
      </c>
      <c r="H43" t="s">
        <v>141</v>
      </c>
      <c r="I43">
        <v>120</v>
      </c>
      <c r="J43" t="s">
        <v>157</v>
      </c>
      <c r="K43"/>
      <c r="L43" t="s">
        <v>89</v>
      </c>
      <c r="M43" s="18">
        <v>13849</v>
      </c>
      <c r="N43" t="s">
        <v>14</v>
      </c>
      <c r="O43" s="13">
        <v>45548</v>
      </c>
      <c r="P43" s="13">
        <v>45565</v>
      </c>
      <c r="Q43" s="13">
        <v>45585</v>
      </c>
      <c r="R43" t="s">
        <v>176</v>
      </c>
      <c r="S43" t="s">
        <v>175</v>
      </c>
    </row>
    <row r="44" spans="1:19" ht="20.100000000000001" customHeight="1" x14ac:dyDescent="0.3">
      <c r="A44">
        <v>1507912</v>
      </c>
      <c r="B44">
        <v>1230527</v>
      </c>
      <c r="C44" t="s">
        <v>92</v>
      </c>
      <c r="D44" t="s">
        <v>60</v>
      </c>
      <c r="E44" t="s">
        <v>6</v>
      </c>
      <c r="F44" t="s">
        <v>181</v>
      </c>
      <c r="G44" t="s">
        <v>149</v>
      </c>
      <c r="H44"/>
      <c r="I44"/>
      <c r="J44" t="s">
        <v>152</v>
      </c>
      <c r="K44" t="s">
        <v>156</v>
      </c>
      <c r="L44" t="s">
        <v>93</v>
      </c>
      <c r="M44" s="18">
        <v>21999</v>
      </c>
      <c r="N44" t="s">
        <v>14</v>
      </c>
      <c r="O44" s="13">
        <v>45548</v>
      </c>
      <c r="P44" s="13">
        <v>45565</v>
      </c>
      <c r="Q44" s="13">
        <v>45568</v>
      </c>
      <c r="R44" t="s">
        <v>24</v>
      </c>
      <c r="S44" t="s">
        <v>175</v>
      </c>
    </row>
    <row r="45" spans="1:19" ht="20.100000000000001" customHeight="1" x14ac:dyDescent="0.3">
      <c r="A45">
        <v>1525747</v>
      </c>
      <c r="B45">
        <v>1234936</v>
      </c>
      <c r="C45" t="s">
        <v>98</v>
      </c>
      <c r="D45" t="s">
        <v>33</v>
      </c>
      <c r="E45" t="s">
        <v>6</v>
      </c>
      <c r="F45" t="s">
        <v>137</v>
      </c>
      <c r="G45" t="s">
        <v>150</v>
      </c>
      <c r="H45" t="s">
        <v>142</v>
      </c>
      <c r="I45">
        <v>80</v>
      </c>
      <c r="J45" t="s">
        <v>151</v>
      </c>
      <c r="K45"/>
      <c r="L45" t="s">
        <v>81</v>
      </c>
      <c r="M45" s="18">
        <v>10999</v>
      </c>
      <c r="N45" t="s">
        <v>14</v>
      </c>
      <c r="O45" s="13">
        <v>45548</v>
      </c>
      <c r="P45" s="13">
        <v>45565</v>
      </c>
      <c r="Q45" s="13">
        <v>45580</v>
      </c>
      <c r="R45" t="s">
        <v>176</v>
      </c>
      <c r="S45" t="s">
        <v>175</v>
      </c>
    </row>
    <row r="46" spans="1:19" ht="20.100000000000001" customHeight="1" x14ac:dyDescent="0.3">
      <c r="A46">
        <v>1536313</v>
      </c>
      <c r="B46">
        <v>1237601</v>
      </c>
      <c r="C46" t="s">
        <v>99</v>
      </c>
      <c r="D46" t="s">
        <v>97</v>
      </c>
      <c r="E46" t="s">
        <v>6</v>
      </c>
      <c r="F46" t="s">
        <v>137</v>
      </c>
      <c r="G46" t="s">
        <v>155</v>
      </c>
      <c r="H46" t="s">
        <v>142</v>
      </c>
      <c r="I46">
        <v>90</v>
      </c>
      <c r="J46" t="s">
        <v>152</v>
      </c>
      <c r="K46"/>
      <c r="L46" t="s">
        <v>100</v>
      </c>
      <c r="M46" s="18">
        <v>17249</v>
      </c>
      <c r="N46" t="s">
        <v>14</v>
      </c>
      <c r="O46" s="13">
        <v>45548</v>
      </c>
      <c r="P46" s="13">
        <v>45565</v>
      </c>
      <c r="Q46" s="13">
        <v>45569</v>
      </c>
      <c r="R46" t="s">
        <v>176</v>
      </c>
      <c r="S46" t="s">
        <v>175</v>
      </c>
    </row>
    <row r="47" spans="1:19" ht="20.100000000000001" customHeight="1" x14ac:dyDescent="0.3">
      <c r="A47">
        <v>1505609</v>
      </c>
      <c r="B47">
        <v>1230031</v>
      </c>
      <c r="C47" t="s">
        <v>126</v>
      </c>
      <c r="D47" t="s">
        <v>127</v>
      </c>
      <c r="E47" t="s">
        <v>6</v>
      </c>
      <c r="F47" t="s">
        <v>245</v>
      </c>
      <c r="G47" t="s">
        <v>169</v>
      </c>
      <c r="H47"/>
      <c r="I47"/>
      <c r="J47" t="s">
        <v>152</v>
      </c>
      <c r="K47" t="s">
        <v>254</v>
      </c>
      <c r="L47" t="s">
        <v>128</v>
      </c>
      <c r="M47" s="18">
        <v>8349</v>
      </c>
      <c r="N47" t="s">
        <v>14</v>
      </c>
      <c r="O47" s="13">
        <v>45549</v>
      </c>
      <c r="P47" s="13">
        <v>45581</v>
      </c>
      <c r="Q47" s="13">
        <v>45586</v>
      </c>
      <c r="R47" t="s">
        <v>176</v>
      </c>
      <c r="S47" t="s">
        <v>175</v>
      </c>
    </row>
    <row r="48" spans="1:19" ht="20.100000000000001" customHeight="1" x14ac:dyDescent="0.3">
      <c r="A48">
        <v>1612229</v>
      </c>
      <c r="B48">
        <v>1254076</v>
      </c>
      <c r="C48" t="s">
        <v>106</v>
      </c>
      <c r="D48" t="s">
        <v>55</v>
      </c>
      <c r="E48" t="s">
        <v>6</v>
      </c>
      <c r="F48" t="s">
        <v>245</v>
      </c>
      <c r="G48" t="s">
        <v>170</v>
      </c>
      <c r="H48"/>
      <c r="I48"/>
      <c r="J48" t="s">
        <v>152</v>
      </c>
      <c r="K48" t="s">
        <v>254</v>
      </c>
      <c r="L48" t="s">
        <v>23</v>
      </c>
      <c r="M48" s="18">
        <v>7849</v>
      </c>
      <c r="N48" t="s">
        <v>14</v>
      </c>
      <c r="O48" s="13">
        <v>45549</v>
      </c>
      <c r="P48" s="13">
        <v>45594</v>
      </c>
      <c r="Q48" s="13">
        <v>45595</v>
      </c>
      <c r="R48" t="s">
        <v>176</v>
      </c>
      <c r="S48" t="s">
        <v>175</v>
      </c>
    </row>
    <row r="49" spans="1:19" ht="20.100000000000001" customHeight="1" x14ac:dyDescent="0.3">
      <c r="A49">
        <v>1673771</v>
      </c>
      <c r="B49">
        <v>1269559</v>
      </c>
      <c r="C49" t="s">
        <v>107</v>
      </c>
      <c r="D49" t="s">
        <v>33</v>
      </c>
      <c r="E49" t="s">
        <v>6</v>
      </c>
      <c r="F49" t="s">
        <v>137</v>
      </c>
      <c r="G49" t="s">
        <v>138</v>
      </c>
      <c r="H49"/>
      <c r="I49"/>
      <c r="J49" t="s">
        <v>152</v>
      </c>
      <c r="K49" t="s">
        <v>152</v>
      </c>
      <c r="L49" t="s">
        <v>108</v>
      </c>
      <c r="M49" s="18">
        <v>9399</v>
      </c>
      <c r="N49" t="s">
        <v>104</v>
      </c>
      <c r="O49" s="13">
        <v>45549</v>
      </c>
      <c r="P49" s="13">
        <v>45594</v>
      </c>
      <c r="Q49" s="13">
        <v>45580</v>
      </c>
      <c r="R49" t="s">
        <v>176</v>
      </c>
      <c r="S49" t="s">
        <v>175</v>
      </c>
    </row>
    <row r="50" spans="1:19" ht="20.100000000000001" customHeight="1" x14ac:dyDescent="0.3">
      <c r="A50">
        <v>1667352</v>
      </c>
      <c r="B50">
        <v>1267819</v>
      </c>
      <c r="C50" t="s">
        <v>109</v>
      </c>
      <c r="D50" t="s">
        <v>110</v>
      </c>
      <c r="E50" t="s">
        <v>6</v>
      </c>
      <c r="F50" t="s">
        <v>137</v>
      </c>
      <c r="G50" t="s">
        <v>140</v>
      </c>
      <c r="H50" t="s">
        <v>143</v>
      </c>
      <c r="I50">
        <v>140</v>
      </c>
      <c r="J50" t="s">
        <v>152</v>
      </c>
      <c r="K50"/>
      <c r="L50" t="s">
        <v>111</v>
      </c>
      <c r="M50" s="18">
        <v>11817</v>
      </c>
      <c r="N50" t="s">
        <v>104</v>
      </c>
      <c r="O50" s="13">
        <v>45549</v>
      </c>
      <c r="P50" s="13">
        <v>45594</v>
      </c>
      <c r="Q50" s="13">
        <v>45580</v>
      </c>
      <c r="R50" t="s">
        <v>176</v>
      </c>
      <c r="S50" t="s">
        <v>175</v>
      </c>
    </row>
    <row r="51" spans="1:19" ht="20.100000000000001" customHeight="1" x14ac:dyDescent="0.3">
      <c r="A51">
        <v>1649781</v>
      </c>
      <c r="B51">
        <v>1263160</v>
      </c>
      <c r="C51" t="s">
        <v>112</v>
      </c>
      <c r="D51" t="s">
        <v>67</v>
      </c>
      <c r="E51" t="s">
        <v>6</v>
      </c>
      <c r="F51" t="s">
        <v>245</v>
      </c>
      <c r="G51" t="s">
        <v>171</v>
      </c>
      <c r="H51"/>
      <c r="I51"/>
      <c r="J51" t="s">
        <v>152</v>
      </c>
      <c r="K51" t="s">
        <v>254</v>
      </c>
      <c r="L51" t="s">
        <v>113</v>
      </c>
      <c r="M51" s="18">
        <v>8349</v>
      </c>
      <c r="N51" t="s">
        <v>104</v>
      </c>
      <c r="O51" s="13">
        <v>45549</v>
      </c>
      <c r="P51" s="13">
        <v>45594</v>
      </c>
      <c r="Q51" s="13">
        <v>45584</v>
      </c>
      <c r="R51" t="s">
        <v>176</v>
      </c>
      <c r="S51" t="s">
        <v>175</v>
      </c>
    </row>
    <row r="52" spans="1:19" ht="20.100000000000001" customHeight="1" x14ac:dyDescent="0.3">
      <c r="A52">
        <v>1681476</v>
      </c>
      <c r="B52">
        <v>1271813</v>
      </c>
      <c r="C52" t="s">
        <v>116</v>
      </c>
      <c r="D52" t="s">
        <v>117</v>
      </c>
      <c r="E52" t="s">
        <v>6</v>
      </c>
      <c r="F52" t="s">
        <v>137</v>
      </c>
      <c r="G52" t="s">
        <v>140</v>
      </c>
      <c r="H52" t="s">
        <v>161</v>
      </c>
      <c r="I52">
        <v>120</v>
      </c>
      <c r="J52" t="s">
        <v>151</v>
      </c>
      <c r="K52"/>
      <c r="L52" t="s">
        <v>118</v>
      </c>
      <c r="M52" s="18">
        <v>17886</v>
      </c>
      <c r="N52" t="s">
        <v>104</v>
      </c>
      <c r="O52" s="13">
        <v>45549</v>
      </c>
      <c r="P52" s="13">
        <v>45594</v>
      </c>
      <c r="Q52" s="13" t="s">
        <v>283</v>
      </c>
      <c r="R52" t="s">
        <v>283</v>
      </c>
      <c r="S52" t="s">
        <v>204</v>
      </c>
    </row>
    <row r="53" spans="1:19" ht="20.100000000000001" customHeight="1" x14ac:dyDescent="0.3">
      <c r="A53">
        <v>1681477</v>
      </c>
      <c r="B53">
        <v>1271813</v>
      </c>
      <c r="C53" t="s">
        <v>116</v>
      </c>
      <c r="D53" t="s">
        <v>117</v>
      </c>
      <c r="E53" t="s">
        <v>6</v>
      </c>
      <c r="F53" t="s">
        <v>137</v>
      </c>
      <c r="G53" t="s">
        <v>140</v>
      </c>
      <c r="H53" t="s">
        <v>161</v>
      </c>
      <c r="I53">
        <v>120</v>
      </c>
      <c r="J53" t="s">
        <v>151</v>
      </c>
      <c r="K53"/>
      <c r="L53" t="s">
        <v>118</v>
      </c>
      <c r="M53" s="18">
        <v>17886</v>
      </c>
      <c r="N53" t="s">
        <v>104</v>
      </c>
      <c r="O53" s="13">
        <v>45549</v>
      </c>
      <c r="P53" s="13">
        <v>45594</v>
      </c>
      <c r="Q53" s="13" t="s">
        <v>283</v>
      </c>
      <c r="R53" t="s">
        <v>283</v>
      </c>
      <c r="S53" t="s">
        <v>204</v>
      </c>
    </row>
    <row r="54" spans="1:19" ht="20.100000000000001" customHeight="1" x14ac:dyDescent="0.3">
      <c r="A54">
        <v>1677530</v>
      </c>
      <c r="B54">
        <v>1270704</v>
      </c>
      <c r="C54" t="s">
        <v>119</v>
      </c>
      <c r="D54" t="s">
        <v>60</v>
      </c>
      <c r="E54" t="s">
        <v>6</v>
      </c>
      <c r="F54" t="s">
        <v>137</v>
      </c>
      <c r="G54" t="s">
        <v>140</v>
      </c>
      <c r="H54" t="s">
        <v>143</v>
      </c>
      <c r="I54">
        <v>120</v>
      </c>
      <c r="J54" t="s">
        <v>151</v>
      </c>
      <c r="K54"/>
      <c r="L54" t="s">
        <v>120</v>
      </c>
      <c r="M54" s="18">
        <v>10987</v>
      </c>
      <c r="N54" t="s">
        <v>14</v>
      </c>
      <c r="O54" s="13">
        <v>45549</v>
      </c>
      <c r="P54" s="13">
        <v>45594</v>
      </c>
      <c r="Q54" s="13">
        <v>45578</v>
      </c>
      <c r="R54" t="s">
        <v>176</v>
      </c>
      <c r="S54" t="s">
        <v>175</v>
      </c>
    </row>
    <row r="55" spans="1:19" ht="20.100000000000001" customHeight="1" x14ac:dyDescent="0.3">
      <c r="A55">
        <v>1677528</v>
      </c>
      <c r="B55">
        <v>1270704</v>
      </c>
      <c r="C55" t="s">
        <v>119</v>
      </c>
      <c r="D55" t="s">
        <v>60</v>
      </c>
      <c r="E55" t="s">
        <v>6</v>
      </c>
      <c r="F55" t="s">
        <v>137</v>
      </c>
      <c r="G55" t="s">
        <v>140</v>
      </c>
      <c r="H55" t="s">
        <v>143</v>
      </c>
      <c r="I55">
        <v>120</v>
      </c>
      <c r="J55" t="s">
        <v>151</v>
      </c>
      <c r="K55"/>
      <c r="L55" t="s">
        <v>120</v>
      </c>
      <c r="M55" s="18">
        <v>10987</v>
      </c>
      <c r="N55" t="s">
        <v>14</v>
      </c>
      <c r="O55" s="13">
        <v>45549</v>
      </c>
      <c r="P55" s="13">
        <v>45594</v>
      </c>
      <c r="Q55" s="13">
        <v>45578</v>
      </c>
      <c r="R55" t="s">
        <v>176</v>
      </c>
      <c r="S55" t="s">
        <v>175</v>
      </c>
    </row>
    <row r="56" spans="1:19" ht="20.100000000000001" customHeight="1" x14ac:dyDescent="0.3">
      <c r="A56">
        <v>1657744</v>
      </c>
      <c r="B56">
        <v>1265268</v>
      </c>
      <c r="C56" t="s">
        <v>122</v>
      </c>
      <c r="D56" t="s">
        <v>123</v>
      </c>
      <c r="E56" t="s">
        <v>6</v>
      </c>
      <c r="F56" t="s">
        <v>245</v>
      </c>
      <c r="G56" t="s">
        <v>169</v>
      </c>
      <c r="H56"/>
      <c r="I56"/>
      <c r="J56" t="s">
        <v>152</v>
      </c>
      <c r="K56" t="s">
        <v>254</v>
      </c>
      <c r="L56" t="s">
        <v>56</v>
      </c>
      <c r="M56" s="18">
        <v>10319</v>
      </c>
      <c r="N56" t="s">
        <v>14</v>
      </c>
      <c r="O56" s="13">
        <v>45549</v>
      </c>
      <c r="P56" s="13">
        <v>45594</v>
      </c>
      <c r="Q56" s="13">
        <v>45584</v>
      </c>
      <c r="R56" t="s">
        <v>176</v>
      </c>
      <c r="S56" t="s">
        <v>175</v>
      </c>
    </row>
    <row r="57" spans="1:19" ht="20.100000000000001" customHeight="1" x14ac:dyDescent="0.3">
      <c r="A57">
        <v>1610613</v>
      </c>
      <c r="B57">
        <v>1253646</v>
      </c>
      <c r="C57" t="s">
        <v>101</v>
      </c>
      <c r="D57" t="s">
        <v>102</v>
      </c>
      <c r="E57" t="s">
        <v>6</v>
      </c>
      <c r="F57" t="s">
        <v>137</v>
      </c>
      <c r="G57" t="s">
        <v>150</v>
      </c>
      <c r="H57" t="s">
        <v>142</v>
      </c>
      <c r="I57">
        <v>120</v>
      </c>
      <c r="J57" t="s">
        <v>286</v>
      </c>
      <c r="K57" t="s">
        <v>286</v>
      </c>
      <c r="L57" t="s">
        <v>103</v>
      </c>
      <c r="M57" s="18">
        <v>12999</v>
      </c>
      <c r="N57" t="s">
        <v>104</v>
      </c>
      <c r="O57" s="13">
        <v>45549</v>
      </c>
      <c r="P57" s="13">
        <v>45616</v>
      </c>
      <c r="Q57" s="13">
        <v>45582</v>
      </c>
      <c r="R57" t="s">
        <v>24</v>
      </c>
      <c r="S57" t="s">
        <v>175</v>
      </c>
    </row>
    <row r="58" spans="1:19" ht="20.100000000000001" customHeight="1" x14ac:dyDescent="0.3">
      <c r="A58">
        <v>1608468</v>
      </c>
      <c r="B58">
        <v>1253172</v>
      </c>
      <c r="C58" t="s">
        <v>105</v>
      </c>
      <c r="D58" t="s">
        <v>22</v>
      </c>
      <c r="E58" t="s">
        <v>6</v>
      </c>
      <c r="F58" t="s">
        <v>181</v>
      </c>
      <c r="G58" t="s">
        <v>149</v>
      </c>
      <c r="H58"/>
      <c r="I58"/>
      <c r="J58" t="s">
        <v>152</v>
      </c>
      <c r="K58" t="s">
        <v>156</v>
      </c>
      <c r="L58" t="s">
        <v>93</v>
      </c>
      <c r="M58" s="18">
        <v>21999</v>
      </c>
      <c r="N58" t="s">
        <v>14</v>
      </c>
      <c r="O58" s="13">
        <v>45549</v>
      </c>
      <c r="P58" s="13">
        <v>45616</v>
      </c>
      <c r="Q58" s="13" t="s">
        <v>283</v>
      </c>
      <c r="R58" t="s">
        <v>283</v>
      </c>
      <c r="S58" t="s">
        <v>204</v>
      </c>
    </row>
    <row r="59" spans="1:19" ht="20.100000000000001" customHeight="1" x14ac:dyDescent="0.3">
      <c r="A59">
        <v>1654554</v>
      </c>
      <c r="B59">
        <v>1264469</v>
      </c>
      <c r="C59" t="s">
        <v>114</v>
      </c>
      <c r="D59" t="s">
        <v>67</v>
      </c>
      <c r="E59" t="s">
        <v>6</v>
      </c>
      <c r="F59" t="s">
        <v>137</v>
      </c>
      <c r="G59" t="s">
        <v>150</v>
      </c>
      <c r="H59" t="s">
        <v>139</v>
      </c>
      <c r="I59">
        <v>100</v>
      </c>
      <c r="J59" t="s">
        <v>286</v>
      </c>
      <c r="K59" t="s">
        <v>286</v>
      </c>
      <c r="L59" t="s">
        <v>115</v>
      </c>
      <c r="M59" s="18">
        <v>12399</v>
      </c>
      <c r="N59" t="s">
        <v>14</v>
      </c>
      <c r="O59" s="13">
        <v>45549</v>
      </c>
      <c r="P59" s="13">
        <v>45616</v>
      </c>
      <c r="Q59" s="13">
        <v>45566</v>
      </c>
      <c r="R59" t="s">
        <v>24</v>
      </c>
      <c r="S59" t="s">
        <v>175</v>
      </c>
    </row>
    <row r="60" spans="1:19" ht="20.100000000000001" customHeight="1" x14ac:dyDescent="0.3">
      <c r="A60">
        <v>1644504</v>
      </c>
      <c r="B60">
        <v>1261644</v>
      </c>
      <c r="C60" t="s">
        <v>121</v>
      </c>
      <c r="D60" t="s">
        <v>60</v>
      </c>
      <c r="E60" t="s">
        <v>6</v>
      </c>
      <c r="F60" t="s">
        <v>181</v>
      </c>
      <c r="G60" t="s">
        <v>149</v>
      </c>
      <c r="H60"/>
      <c r="I60"/>
      <c r="J60" t="s">
        <v>152</v>
      </c>
      <c r="K60" t="s">
        <v>156</v>
      </c>
      <c r="L60" t="s">
        <v>93</v>
      </c>
      <c r="M60" s="18">
        <v>21999</v>
      </c>
      <c r="N60" t="s">
        <v>14</v>
      </c>
      <c r="O60" s="13">
        <v>45549</v>
      </c>
      <c r="P60" s="13">
        <v>45616</v>
      </c>
      <c r="Q60" s="13">
        <v>45574</v>
      </c>
      <c r="R60" t="s">
        <v>176</v>
      </c>
      <c r="S60" t="s">
        <v>175</v>
      </c>
    </row>
    <row r="61" spans="1:19" ht="20.100000000000001" customHeight="1" x14ac:dyDescent="0.3">
      <c r="A61">
        <v>1655447</v>
      </c>
      <c r="B61">
        <v>1264684</v>
      </c>
      <c r="C61" t="s">
        <v>124</v>
      </c>
      <c r="D61" t="s">
        <v>55</v>
      </c>
      <c r="E61" t="s">
        <v>6</v>
      </c>
      <c r="F61" t="s">
        <v>137</v>
      </c>
      <c r="G61" t="s">
        <v>150</v>
      </c>
      <c r="H61" t="s">
        <v>139</v>
      </c>
      <c r="I61">
        <v>80</v>
      </c>
      <c r="J61" t="s">
        <v>151</v>
      </c>
      <c r="K61"/>
      <c r="L61" t="s">
        <v>125</v>
      </c>
      <c r="M61" s="18">
        <v>10999</v>
      </c>
      <c r="N61" t="s">
        <v>104</v>
      </c>
      <c r="O61" s="13">
        <v>45549</v>
      </c>
      <c r="P61" s="13">
        <v>45616</v>
      </c>
      <c r="Q61" s="13">
        <v>45581</v>
      </c>
      <c r="R61" t="s">
        <v>176</v>
      </c>
      <c r="S61" t="s">
        <v>175</v>
      </c>
    </row>
    <row r="62" spans="1:19" ht="20.100000000000001" customHeight="1" x14ac:dyDescent="0.3">
      <c r="A62">
        <v>1679731</v>
      </c>
      <c r="B62">
        <v>1271291</v>
      </c>
      <c r="C62" t="s">
        <v>167</v>
      </c>
      <c r="D62" t="s">
        <v>97</v>
      </c>
      <c r="E62" t="s">
        <v>6</v>
      </c>
      <c r="F62" t="s">
        <v>137</v>
      </c>
      <c r="G62" t="s">
        <v>150</v>
      </c>
      <c r="H62" t="s">
        <v>142</v>
      </c>
      <c r="I62">
        <v>80</v>
      </c>
      <c r="J62" t="s">
        <v>151</v>
      </c>
      <c r="K62"/>
      <c r="L62"/>
      <c r="M62" s="18">
        <v>10999</v>
      </c>
      <c r="N62" t="s">
        <v>104</v>
      </c>
      <c r="O62" s="13">
        <v>45549</v>
      </c>
      <c r="P62" s="13">
        <v>45616</v>
      </c>
      <c r="Q62" s="13">
        <v>45581</v>
      </c>
      <c r="R62" t="s">
        <v>176</v>
      </c>
      <c r="S62" t="s">
        <v>175</v>
      </c>
    </row>
    <row r="63" spans="1:19" ht="20.100000000000001" customHeight="1" x14ac:dyDescent="0.3">
      <c r="A63">
        <v>1679739</v>
      </c>
      <c r="B63">
        <v>1271291</v>
      </c>
      <c r="C63" t="s">
        <v>167</v>
      </c>
      <c r="D63" t="s">
        <v>97</v>
      </c>
      <c r="E63" t="s">
        <v>6</v>
      </c>
      <c r="F63" t="s">
        <v>137</v>
      </c>
      <c r="G63" t="s">
        <v>150</v>
      </c>
      <c r="H63" t="s">
        <v>142</v>
      </c>
      <c r="I63">
        <v>80</v>
      </c>
      <c r="J63" t="s">
        <v>151</v>
      </c>
      <c r="K63"/>
      <c r="L63"/>
      <c r="M63" s="18">
        <v>10999</v>
      </c>
      <c r="N63" t="s">
        <v>104</v>
      </c>
      <c r="O63" s="13">
        <v>45550</v>
      </c>
      <c r="P63" s="13">
        <v>45616</v>
      </c>
      <c r="Q63" s="13">
        <v>45581</v>
      </c>
      <c r="R63" t="s">
        <v>176</v>
      </c>
      <c r="S63" t="s">
        <v>175</v>
      </c>
    </row>
    <row r="64" spans="1:19" ht="20.100000000000001" customHeight="1" x14ac:dyDescent="0.3">
      <c r="A64">
        <v>1670668</v>
      </c>
      <c r="B64">
        <v>1268695</v>
      </c>
      <c r="C64" t="s">
        <v>168</v>
      </c>
      <c r="D64" t="s">
        <v>287</v>
      </c>
      <c r="E64" t="s">
        <v>6</v>
      </c>
      <c r="F64" t="s">
        <v>181</v>
      </c>
      <c r="G64" t="s">
        <v>149</v>
      </c>
      <c r="H64"/>
      <c r="I64"/>
      <c r="J64" t="s">
        <v>152</v>
      </c>
      <c r="K64" t="s">
        <v>156</v>
      </c>
      <c r="L64"/>
      <c r="M64" s="18">
        <v>21999</v>
      </c>
      <c r="N64" t="s">
        <v>104</v>
      </c>
      <c r="O64" s="13">
        <v>45550</v>
      </c>
      <c r="P64" s="13">
        <v>45616</v>
      </c>
      <c r="Q64" s="13">
        <v>45584</v>
      </c>
      <c r="R64" t="s">
        <v>176</v>
      </c>
      <c r="S64" t="s">
        <v>175</v>
      </c>
    </row>
    <row r="65" spans="1:19" ht="20.100000000000001" customHeight="1" x14ac:dyDescent="0.3">
      <c r="A65">
        <v>1416625</v>
      </c>
      <c r="B65">
        <v>1205197</v>
      </c>
      <c r="C65" t="s">
        <v>174</v>
      </c>
      <c r="D65" t="s">
        <v>132</v>
      </c>
      <c r="E65" t="s">
        <v>6</v>
      </c>
      <c r="F65" t="s">
        <v>245</v>
      </c>
      <c r="G65" t="s">
        <v>169</v>
      </c>
      <c r="H65"/>
      <c r="I65"/>
      <c r="J65" t="s">
        <v>152</v>
      </c>
      <c r="K65" t="s">
        <v>254</v>
      </c>
      <c r="L65"/>
      <c r="M65" s="18">
        <v>7849</v>
      </c>
      <c r="N65">
        <v>6306</v>
      </c>
      <c r="O65" s="13">
        <v>45551</v>
      </c>
      <c r="P65" s="13">
        <v>45595</v>
      </c>
      <c r="Q65" s="13">
        <v>45610</v>
      </c>
      <c r="R65" t="s">
        <v>24</v>
      </c>
      <c r="S65" t="s">
        <v>175</v>
      </c>
    </row>
    <row r="66" spans="1:19" ht="20.100000000000001" customHeight="1" x14ac:dyDescent="0.3">
      <c r="A66"/>
      <c r="B66"/>
      <c r="C66" t="s">
        <v>75</v>
      </c>
      <c r="D66" t="s">
        <v>177</v>
      </c>
      <c r="E66" t="s">
        <v>49</v>
      </c>
      <c r="F66" t="s">
        <v>137</v>
      </c>
      <c r="G66" t="s">
        <v>150</v>
      </c>
      <c r="H66" t="s">
        <v>142</v>
      </c>
      <c r="I66">
        <v>80</v>
      </c>
      <c r="J66" t="s">
        <v>151</v>
      </c>
      <c r="K66"/>
      <c r="L66"/>
      <c r="M66" s="18">
        <v>5074</v>
      </c>
      <c r="N66" t="s">
        <v>77</v>
      </c>
      <c r="O66" s="13">
        <v>45556</v>
      </c>
      <c r="P66" s="13">
        <v>45570</v>
      </c>
      <c r="Q66" s="13">
        <v>45577</v>
      </c>
      <c r="R66" t="s">
        <v>176</v>
      </c>
      <c r="S66" t="s">
        <v>175</v>
      </c>
    </row>
    <row r="67" spans="1:19" ht="20.100000000000001" customHeight="1" x14ac:dyDescent="0.3">
      <c r="A67">
        <v>2514</v>
      </c>
      <c r="B67">
        <v>2514</v>
      </c>
      <c r="C67" t="s">
        <v>35</v>
      </c>
      <c r="D67" t="s">
        <v>36</v>
      </c>
      <c r="E67" t="s">
        <v>37</v>
      </c>
      <c r="F67" t="s">
        <v>137</v>
      </c>
      <c r="G67" t="s">
        <v>150</v>
      </c>
      <c r="H67" t="s">
        <v>141</v>
      </c>
      <c r="I67">
        <v>100</v>
      </c>
      <c r="J67" t="s">
        <v>178</v>
      </c>
      <c r="K67"/>
      <c r="L67"/>
      <c r="M67" s="18">
        <v>6250</v>
      </c>
      <c r="N67" t="s">
        <v>77</v>
      </c>
      <c r="O67" s="13">
        <v>45558</v>
      </c>
      <c r="P67" s="13">
        <v>45573</v>
      </c>
      <c r="Q67" s="13">
        <v>45582</v>
      </c>
      <c r="R67" t="s">
        <v>176</v>
      </c>
      <c r="S67" t="s">
        <v>175</v>
      </c>
    </row>
    <row r="68" spans="1:19" ht="20.100000000000001" customHeight="1" x14ac:dyDescent="0.3">
      <c r="A68">
        <v>1706794</v>
      </c>
      <c r="B68">
        <v>1281428</v>
      </c>
      <c r="C68" t="s">
        <v>179</v>
      </c>
      <c r="D68" t="s">
        <v>36</v>
      </c>
      <c r="E68" t="s">
        <v>6</v>
      </c>
      <c r="F68" t="s">
        <v>137</v>
      </c>
      <c r="G68" t="s">
        <v>140</v>
      </c>
      <c r="H68" t="s">
        <v>161</v>
      </c>
      <c r="I68">
        <v>120</v>
      </c>
      <c r="J68" t="s">
        <v>151</v>
      </c>
      <c r="K68"/>
      <c r="L68"/>
      <c r="M68" s="18">
        <v>8943</v>
      </c>
      <c r="N68">
        <v>9033</v>
      </c>
      <c r="O68" s="13">
        <v>45561</v>
      </c>
      <c r="P68" s="13">
        <v>45606</v>
      </c>
      <c r="Q68" s="13">
        <v>45575</v>
      </c>
      <c r="R68" t="s">
        <v>176</v>
      </c>
      <c r="S68" t="s">
        <v>175</v>
      </c>
    </row>
    <row r="69" spans="1:19" ht="20.100000000000001" customHeight="1" x14ac:dyDescent="0.3">
      <c r="A69">
        <v>1704621</v>
      </c>
      <c r="B69">
        <v>1280197</v>
      </c>
      <c r="C69" t="s">
        <v>180</v>
      </c>
      <c r="D69" t="s">
        <v>33</v>
      </c>
      <c r="E69" t="s">
        <v>6</v>
      </c>
      <c r="F69" t="s">
        <v>245</v>
      </c>
      <c r="G69" t="s">
        <v>171</v>
      </c>
      <c r="H69"/>
      <c r="I69"/>
      <c r="J69" t="s">
        <v>152</v>
      </c>
      <c r="K69" t="s">
        <v>254</v>
      </c>
      <c r="L69"/>
      <c r="M69" s="18">
        <v>8349</v>
      </c>
      <c r="N69">
        <v>8433</v>
      </c>
      <c r="O69" s="13">
        <v>45561</v>
      </c>
      <c r="P69" s="13">
        <v>45606</v>
      </c>
      <c r="Q69" s="13" t="s">
        <v>283</v>
      </c>
      <c r="R69" t="s">
        <v>283</v>
      </c>
      <c r="S69" t="s">
        <v>204</v>
      </c>
    </row>
    <row r="70" spans="1:19" ht="20.100000000000001" customHeight="1" x14ac:dyDescent="0.3">
      <c r="A70">
        <v>240078066</v>
      </c>
      <c r="B70"/>
      <c r="C70" t="s">
        <v>27</v>
      </c>
      <c r="D70" t="s">
        <v>48</v>
      </c>
      <c r="E70" t="s">
        <v>27</v>
      </c>
      <c r="F70" t="s">
        <v>181</v>
      </c>
      <c r="G70" t="s">
        <v>182</v>
      </c>
      <c r="H70"/>
      <c r="I70"/>
      <c r="J70" t="s">
        <v>286</v>
      </c>
      <c r="K70" t="s">
        <v>193</v>
      </c>
      <c r="L70"/>
      <c r="M70" s="18">
        <v>14950</v>
      </c>
      <c r="N70" t="s">
        <v>14</v>
      </c>
      <c r="O70" s="13">
        <v>45561</v>
      </c>
      <c r="P70" s="13">
        <v>45579</v>
      </c>
      <c r="Q70" s="13">
        <v>45578</v>
      </c>
      <c r="R70" t="s">
        <v>176</v>
      </c>
      <c r="S70" t="s">
        <v>175</v>
      </c>
    </row>
    <row r="71" spans="1:19" ht="20.100000000000001" customHeight="1" x14ac:dyDescent="0.3">
      <c r="A71">
        <v>240077789</v>
      </c>
      <c r="B71"/>
      <c r="C71" t="s">
        <v>27</v>
      </c>
      <c r="D71" t="s">
        <v>33</v>
      </c>
      <c r="E71" t="s">
        <v>27</v>
      </c>
      <c r="F71" t="s">
        <v>137</v>
      </c>
      <c r="G71" t="s">
        <v>150</v>
      </c>
      <c r="H71" t="s">
        <v>141</v>
      </c>
      <c r="I71">
        <v>100</v>
      </c>
      <c r="J71" t="s">
        <v>152</v>
      </c>
      <c r="K71"/>
      <c r="L71"/>
      <c r="M71" s="18">
        <v>9208</v>
      </c>
      <c r="N71">
        <v>9608</v>
      </c>
      <c r="O71" s="13">
        <v>45561</v>
      </c>
      <c r="P71" s="13">
        <v>45579</v>
      </c>
      <c r="Q71" s="13" t="s">
        <v>283</v>
      </c>
      <c r="R71" t="s">
        <v>283</v>
      </c>
      <c r="S71" t="s">
        <v>204</v>
      </c>
    </row>
    <row r="72" spans="1:19" ht="20.100000000000001" customHeight="1" x14ac:dyDescent="0.3">
      <c r="A72">
        <v>240078390</v>
      </c>
      <c r="B72"/>
      <c r="C72" t="s">
        <v>27</v>
      </c>
      <c r="D72" t="s">
        <v>196</v>
      </c>
      <c r="E72" t="s">
        <v>27</v>
      </c>
      <c r="F72" t="s">
        <v>137</v>
      </c>
      <c r="G72" t="s">
        <v>140</v>
      </c>
      <c r="H72" t="s">
        <v>143</v>
      </c>
      <c r="I72">
        <v>120</v>
      </c>
      <c r="J72" t="s">
        <v>151</v>
      </c>
      <c r="K72"/>
      <c r="L72"/>
      <c r="M72" s="18">
        <v>7433</v>
      </c>
      <c r="N72" t="s">
        <v>14</v>
      </c>
      <c r="O72" s="13">
        <v>45564</v>
      </c>
      <c r="P72" s="13">
        <v>45585</v>
      </c>
      <c r="Q72" s="13">
        <v>45586</v>
      </c>
      <c r="R72" t="s">
        <v>176</v>
      </c>
      <c r="S72" t="s">
        <v>175</v>
      </c>
    </row>
    <row r="73" spans="1:19" ht="20.100000000000001" customHeight="1" x14ac:dyDescent="0.3">
      <c r="A73"/>
      <c r="B73"/>
      <c r="C73" t="s">
        <v>75</v>
      </c>
      <c r="D73" t="s">
        <v>177</v>
      </c>
      <c r="E73" t="s">
        <v>49</v>
      </c>
      <c r="F73" t="s">
        <v>137</v>
      </c>
      <c r="G73" t="s">
        <v>140</v>
      </c>
      <c r="H73" t="s">
        <v>161</v>
      </c>
      <c r="I73">
        <v>120</v>
      </c>
      <c r="J73" t="s">
        <v>151</v>
      </c>
      <c r="K73"/>
      <c r="L73"/>
      <c r="M73" s="18">
        <v>4020</v>
      </c>
      <c r="N73" t="s">
        <v>77</v>
      </c>
      <c r="O73" s="13">
        <v>45564</v>
      </c>
      <c r="P73" s="13">
        <v>45577</v>
      </c>
      <c r="Q73" s="13">
        <v>45577</v>
      </c>
      <c r="R73" t="s">
        <v>176</v>
      </c>
      <c r="S73" t="s">
        <v>175</v>
      </c>
    </row>
    <row r="74" spans="1:19" ht="20.100000000000001" customHeight="1" x14ac:dyDescent="0.3">
      <c r="A74"/>
      <c r="B74"/>
      <c r="C74" t="s">
        <v>184</v>
      </c>
      <c r="D74" t="s">
        <v>185</v>
      </c>
      <c r="E74" t="s">
        <v>186</v>
      </c>
      <c r="F74" t="s">
        <v>137</v>
      </c>
      <c r="G74" t="s">
        <v>150</v>
      </c>
      <c r="H74" t="s">
        <v>187</v>
      </c>
      <c r="I74">
        <v>100</v>
      </c>
      <c r="J74" t="s">
        <v>188</v>
      </c>
      <c r="K74"/>
      <c r="L74"/>
      <c r="M74" s="18">
        <v>8544.9054400000005</v>
      </c>
      <c r="N74" t="s">
        <v>14</v>
      </c>
      <c r="O74" s="13">
        <v>45566</v>
      </c>
      <c r="P74" s="13">
        <v>45574</v>
      </c>
      <c r="Q74" s="13">
        <v>45574</v>
      </c>
      <c r="R74" t="s">
        <v>198</v>
      </c>
      <c r="S74" t="s">
        <v>175</v>
      </c>
    </row>
    <row r="75" spans="1:19" ht="20.100000000000001" customHeight="1" x14ac:dyDescent="0.3">
      <c r="A75"/>
      <c r="B75"/>
      <c r="C75" t="s">
        <v>184</v>
      </c>
      <c r="D75" t="s">
        <v>185</v>
      </c>
      <c r="E75" t="s">
        <v>186</v>
      </c>
      <c r="F75" t="s">
        <v>137</v>
      </c>
      <c r="G75" t="s">
        <v>138</v>
      </c>
      <c r="H75"/>
      <c r="I75"/>
      <c r="J75" t="s">
        <v>152</v>
      </c>
      <c r="K75" t="s">
        <v>191</v>
      </c>
      <c r="L75"/>
      <c r="M75" s="18">
        <v>4600</v>
      </c>
      <c r="N75" t="s">
        <v>14</v>
      </c>
      <c r="O75" s="13">
        <v>45566</v>
      </c>
      <c r="P75" s="13">
        <v>45574</v>
      </c>
      <c r="Q75" s="13">
        <v>45574</v>
      </c>
      <c r="R75" t="s">
        <v>198</v>
      </c>
      <c r="S75" t="s">
        <v>175</v>
      </c>
    </row>
    <row r="76" spans="1:19" ht="20.100000000000001" customHeight="1" x14ac:dyDescent="0.3">
      <c r="A76"/>
      <c r="B76"/>
      <c r="C76" t="s">
        <v>184</v>
      </c>
      <c r="D76" t="s">
        <v>185</v>
      </c>
      <c r="E76" t="s">
        <v>186</v>
      </c>
      <c r="F76" t="s">
        <v>181</v>
      </c>
      <c r="G76" t="s">
        <v>189</v>
      </c>
      <c r="H76"/>
      <c r="I76"/>
      <c r="J76" t="s">
        <v>152</v>
      </c>
      <c r="K76" t="s">
        <v>190</v>
      </c>
      <c r="L76"/>
      <c r="M76" s="18">
        <v>10000</v>
      </c>
      <c r="N76" t="s">
        <v>14</v>
      </c>
      <c r="O76" s="13">
        <v>45566</v>
      </c>
      <c r="P76" s="13">
        <v>45574</v>
      </c>
      <c r="Q76" s="13">
        <v>45574</v>
      </c>
      <c r="R76" t="s">
        <v>198</v>
      </c>
      <c r="S76" t="s">
        <v>175</v>
      </c>
    </row>
    <row r="77" spans="1:19" ht="20.100000000000001" customHeight="1" x14ac:dyDescent="0.3">
      <c r="A77"/>
      <c r="B77"/>
      <c r="C77" t="s">
        <v>184</v>
      </c>
      <c r="D77" t="s">
        <v>185</v>
      </c>
      <c r="E77" t="s">
        <v>186</v>
      </c>
      <c r="F77" t="s">
        <v>192</v>
      </c>
      <c r="G77"/>
      <c r="H77"/>
      <c r="I77"/>
      <c r="J77" t="s">
        <v>152</v>
      </c>
      <c r="K77" t="s">
        <v>193</v>
      </c>
      <c r="L77"/>
      <c r="M77" s="18">
        <v>10451</v>
      </c>
      <c r="N77" t="s">
        <v>14</v>
      </c>
      <c r="O77" s="13">
        <v>45566</v>
      </c>
      <c r="P77" s="13">
        <v>45574</v>
      </c>
      <c r="Q77" s="13">
        <v>45574</v>
      </c>
      <c r="R77" t="s">
        <v>198</v>
      </c>
      <c r="S77" t="s">
        <v>175</v>
      </c>
    </row>
    <row r="78" spans="1:19" ht="20.100000000000001" customHeight="1" x14ac:dyDescent="0.3">
      <c r="A78">
        <v>1282228</v>
      </c>
      <c r="B78">
        <v>1708226</v>
      </c>
      <c r="C78" t="s">
        <v>194</v>
      </c>
      <c r="D78" t="s">
        <v>195</v>
      </c>
      <c r="E78" t="s">
        <v>6</v>
      </c>
      <c r="F78" t="s">
        <v>137</v>
      </c>
      <c r="G78" t="s">
        <v>138</v>
      </c>
      <c r="H78"/>
      <c r="I78"/>
      <c r="J78" t="s">
        <v>152</v>
      </c>
      <c r="K78" t="s">
        <v>152</v>
      </c>
      <c r="L78"/>
      <c r="M78" s="18">
        <v>8899</v>
      </c>
      <c r="N78">
        <v>8988</v>
      </c>
      <c r="O78" s="13">
        <v>45568</v>
      </c>
      <c r="P78" s="13">
        <v>45613</v>
      </c>
      <c r="Q78" s="13" t="s">
        <v>283</v>
      </c>
      <c r="R78" t="s">
        <v>283</v>
      </c>
      <c r="S78" t="s">
        <v>204</v>
      </c>
    </row>
    <row r="79" spans="1:19" ht="20.100000000000001" customHeight="1" x14ac:dyDescent="0.3">
      <c r="A79">
        <v>240079328</v>
      </c>
      <c r="B79"/>
      <c r="C79" t="s">
        <v>27</v>
      </c>
      <c r="D79" t="s">
        <v>196</v>
      </c>
      <c r="E79" t="s">
        <v>27</v>
      </c>
      <c r="F79" t="s">
        <v>181</v>
      </c>
      <c r="G79" t="s">
        <v>182</v>
      </c>
      <c r="H79"/>
      <c r="I79"/>
      <c r="J79" t="s">
        <v>152</v>
      </c>
      <c r="K79" t="s">
        <v>197</v>
      </c>
      <c r="L79"/>
      <c r="M79" s="18">
        <v>14550</v>
      </c>
      <c r="N79" t="s">
        <v>14</v>
      </c>
      <c r="O79" s="13">
        <v>45573</v>
      </c>
      <c r="P79" s="13">
        <v>45594</v>
      </c>
      <c r="Q79" s="13">
        <v>45595</v>
      </c>
      <c r="R79" t="s">
        <v>176</v>
      </c>
      <c r="S79" t="s">
        <v>175</v>
      </c>
    </row>
    <row r="80" spans="1:19" ht="20.100000000000001" customHeight="1" x14ac:dyDescent="0.3">
      <c r="A80">
        <v>240078933</v>
      </c>
      <c r="B80"/>
      <c r="C80" t="s">
        <v>27</v>
      </c>
      <c r="D80" t="s">
        <v>33</v>
      </c>
      <c r="E80" t="s">
        <v>27</v>
      </c>
      <c r="F80" t="s">
        <v>181</v>
      </c>
      <c r="G80" t="s">
        <v>182</v>
      </c>
      <c r="H80"/>
      <c r="I80"/>
      <c r="J80" t="s">
        <v>152</v>
      </c>
      <c r="K80" t="s">
        <v>197</v>
      </c>
      <c r="L80"/>
      <c r="M80" s="18">
        <v>14550</v>
      </c>
      <c r="N80" t="s">
        <v>14</v>
      </c>
      <c r="O80" s="13">
        <v>45572</v>
      </c>
      <c r="P80" s="13">
        <v>45594</v>
      </c>
      <c r="Q80" s="13">
        <v>45580</v>
      </c>
      <c r="R80" t="s">
        <v>176</v>
      </c>
      <c r="S80" t="s">
        <v>175</v>
      </c>
    </row>
    <row r="81" spans="1:19" ht="20.100000000000001" customHeight="1" x14ac:dyDescent="0.3">
      <c r="A81">
        <v>240079517</v>
      </c>
      <c r="B81"/>
      <c r="C81" t="s">
        <v>27</v>
      </c>
      <c r="D81" t="s">
        <v>196</v>
      </c>
      <c r="E81" t="s">
        <v>27</v>
      </c>
      <c r="F81" t="s">
        <v>181</v>
      </c>
      <c r="G81" t="s">
        <v>182</v>
      </c>
      <c r="H81"/>
      <c r="I81"/>
      <c r="J81" t="s">
        <v>152</v>
      </c>
      <c r="K81" t="s">
        <v>193</v>
      </c>
      <c r="L81"/>
      <c r="M81" s="18">
        <v>14550</v>
      </c>
      <c r="N81">
        <v>11495</v>
      </c>
      <c r="O81" s="13">
        <v>45575</v>
      </c>
      <c r="P81" s="13">
        <v>45596</v>
      </c>
      <c r="Q81" s="13">
        <v>45598</v>
      </c>
      <c r="R81" t="s">
        <v>176</v>
      </c>
      <c r="S81" t="s">
        <v>175</v>
      </c>
    </row>
    <row r="82" spans="1:19" ht="20.100000000000001" customHeight="1" x14ac:dyDescent="0.3">
      <c r="A82">
        <v>1714623</v>
      </c>
      <c r="B82">
        <v>1284697</v>
      </c>
      <c r="C82" t="s">
        <v>199</v>
      </c>
      <c r="D82" t="s">
        <v>60</v>
      </c>
      <c r="E82" t="s">
        <v>6</v>
      </c>
      <c r="F82" t="s">
        <v>137</v>
      </c>
      <c r="G82" t="s">
        <v>150</v>
      </c>
      <c r="H82" t="s">
        <v>200</v>
      </c>
      <c r="I82" t="s">
        <v>201</v>
      </c>
      <c r="J82" t="s">
        <v>202</v>
      </c>
      <c r="K82"/>
      <c r="L82"/>
      <c r="M82" s="18">
        <v>12899</v>
      </c>
      <c r="N82">
        <v>13028</v>
      </c>
      <c r="O82" s="13">
        <v>45578</v>
      </c>
      <c r="P82" s="13">
        <v>45643</v>
      </c>
      <c r="Q82" s="13">
        <v>45598</v>
      </c>
      <c r="R82" t="s">
        <v>176</v>
      </c>
      <c r="S82" t="s">
        <v>175</v>
      </c>
    </row>
    <row r="83" spans="1:19" ht="20.100000000000001" customHeight="1" x14ac:dyDescent="0.3">
      <c r="A83">
        <v>1715473</v>
      </c>
      <c r="B83">
        <v>1285152</v>
      </c>
      <c r="C83" t="s">
        <v>203</v>
      </c>
      <c r="D83" t="s">
        <v>42</v>
      </c>
      <c r="E83" t="s">
        <v>6</v>
      </c>
      <c r="F83" t="s">
        <v>137</v>
      </c>
      <c r="G83" t="s">
        <v>150</v>
      </c>
      <c r="H83" t="s">
        <v>142</v>
      </c>
      <c r="I83">
        <v>80</v>
      </c>
      <c r="J83" t="s">
        <v>151</v>
      </c>
      <c r="K83"/>
      <c r="L83"/>
      <c r="M83" s="18">
        <v>10499</v>
      </c>
      <c r="N83" t="s">
        <v>14</v>
      </c>
      <c r="O83" s="13">
        <v>45581</v>
      </c>
      <c r="P83" s="13">
        <v>45645</v>
      </c>
      <c r="Q83" s="13">
        <v>45586</v>
      </c>
      <c r="R83" t="s">
        <v>176</v>
      </c>
      <c r="S83" t="s">
        <v>175</v>
      </c>
    </row>
    <row r="84" spans="1:19" ht="20.100000000000001" customHeight="1" x14ac:dyDescent="0.3">
      <c r="A84">
        <v>1715992</v>
      </c>
      <c r="B84">
        <v>1285423</v>
      </c>
      <c r="C84" t="s">
        <v>205</v>
      </c>
      <c r="D84" t="s">
        <v>206</v>
      </c>
      <c r="E84" t="s">
        <v>6</v>
      </c>
      <c r="F84" t="s">
        <v>137</v>
      </c>
      <c r="G84" t="s">
        <v>150</v>
      </c>
      <c r="H84" t="s">
        <v>139</v>
      </c>
      <c r="I84" t="s">
        <v>207</v>
      </c>
      <c r="J84" t="s">
        <v>202</v>
      </c>
      <c r="K84"/>
      <c r="L84"/>
      <c r="M84" s="18">
        <v>12899</v>
      </c>
      <c r="N84" t="s">
        <v>14</v>
      </c>
      <c r="O84" s="13">
        <v>45582</v>
      </c>
      <c r="P84" s="13">
        <v>45648</v>
      </c>
      <c r="Q84" s="13">
        <v>45629</v>
      </c>
      <c r="R84" t="s">
        <v>24</v>
      </c>
      <c r="S84" t="s">
        <v>175</v>
      </c>
    </row>
    <row r="85" spans="1:19" ht="20.100000000000001" customHeight="1" x14ac:dyDescent="0.3">
      <c r="A85" t="s">
        <v>209</v>
      </c>
      <c r="B85"/>
      <c r="C85" t="s">
        <v>208</v>
      </c>
      <c r="D85" t="s">
        <v>210</v>
      </c>
      <c r="E85" t="s">
        <v>221</v>
      </c>
      <c r="F85" t="s">
        <v>137</v>
      </c>
      <c r="G85" t="s">
        <v>140</v>
      </c>
      <c r="H85" t="s">
        <v>211</v>
      </c>
      <c r="I85">
        <v>140</v>
      </c>
      <c r="J85" t="s">
        <v>193</v>
      </c>
      <c r="K85" t="s">
        <v>212</v>
      </c>
      <c r="L85"/>
      <c r="M85" s="18">
        <v>5135</v>
      </c>
      <c r="N85" t="s">
        <v>14</v>
      </c>
      <c r="O85" s="13">
        <v>45585</v>
      </c>
      <c r="P85" s="13">
        <v>45613</v>
      </c>
      <c r="Q85" s="13">
        <v>45610</v>
      </c>
      <c r="R85" t="s">
        <v>176</v>
      </c>
      <c r="S85" t="s">
        <v>175</v>
      </c>
    </row>
    <row r="86" spans="1:19" ht="20.100000000000001" customHeight="1" x14ac:dyDescent="0.3">
      <c r="A86">
        <v>240080607</v>
      </c>
      <c r="B86"/>
      <c r="C86" t="s">
        <v>27</v>
      </c>
      <c r="D86" t="s">
        <v>33</v>
      </c>
      <c r="E86" t="s">
        <v>27</v>
      </c>
      <c r="F86" t="s">
        <v>137</v>
      </c>
      <c r="G86" t="s">
        <v>150</v>
      </c>
      <c r="H86" t="s">
        <v>213</v>
      </c>
      <c r="I86">
        <v>100</v>
      </c>
      <c r="J86" t="s">
        <v>152</v>
      </c>
      <c r="K86" t="s">
        <v>286</v>
      </c>
      <c r="L86"/>
      <c r="M86" s="18">
        <v>12777.5</v>
      </c>
      <c r="N86">
        <v>11277.5</v>
      </c>
      <c r="O86" s="13">
        <v>45587</v>
      </c>
      <c r="P86" s="13">
        <v>45608</v>
      </c>
      <c r="Q86" s="13">
        <v>45614</v>
      </c>
      <c r="R86" t="s">
        <v>176</v>
      </c>
      <c r="S86" t="s">
        <v>175</v>
      </c>
    </row>
    <row r="87" spans="1:19" ht="20.100000000000001" customHeight="1" x14ac:dyDescent="0.3">
      <c r="A87"/>
      <c r="B87"/>
      <c r="C87" t="s">
        <v>75</v>
      </c>
      <c r="D87" t="s">
        <v>214</v>
      </c>
      <c r="E87" t="s">
        <v>49</v>
      </c>
      <c r="F87" t="s">
        <v>137</v>
      </c>
      <c r="G87" t="s">
        <v>150</v>
      </c>
      <c r="H87" t="s">
        <v>213</v>
      </c>
      <c r="I87">
        <v>100</v>
      </c>
      <c r="J87" t="s">
        <v>152</v>
      </c>
      <c r="K87" t="s">
        <v>286</v>
      </c>
      <c r="L87"/>
      <c r="M87" s="18">
        <v>8544.91</v>
      </c>
      <c r="N87" t="s">
        <v>77</v>
      </c>
      <c r="O87" s="13">
        <v>45587</v>
      </c>
      <c r="P87" s="13">
        <v>45593</v>
      </c>
      <c r="Q87" s="13" t="s">
        <v>283</v>
      </c>
      <c r="R87" t="s">
        <v>283</v>
      </c>
      <c r="S87" t="s">
        <v>230</v>
      </c>
    </row>
    <row r="88" spans="1:19" ht="20.100000000000001" customHeight="1" x14ac:dyDescent="0.3">
      <c r="A88">
        <v>1717458</v>
      </c>
      <c r="B88">
        <v>1286189</v>
      </c>
      <c r="C88" t="s">
        <v>215</v>
      </c>
      <c r="D88" t="s">
        <v>33</v>
      </c>
      <c r="E88" t="s">
        <v>6</v>
      </c>
      <c r="F88" t="s">
        <v>137</v>
      </c>
      <c r="G88" t="s">
        <v>140</v>
      </c>
      <c r="H88" t="s">
        <v>161</v>
      </c>
      <c r="I88">
        <v>120</v>
      </c>
      <c r="J88" t="s">
        <v>151</v>
      </c>
      <c r="K88"/>
      <c r="L88"/>
      <c r="M88" s="18">
        <v>8943</v>
      </c>
      <c r="N88">
        <v>9007.01</v>
      </c>
      <c r="O88" s="13">
        <v>45586</v>
      </c>
      <c r="P88" s="13">
        <v>45610</v>
      </c>
      <c r="Q88" s="13">
        <v>45614</v>
      </c>
      <c r="R88" t="s">
        <v>176</v>
      </c>
      <c r="S88" t="s">
        <v>175</v>
      </c>
    </row>
    <row r="89" spans="1:19" ht="20.100000000000001" customHeight="1" x14ac:dyDescent="0.3">
      <c r="A89">
        <v>240080858</v>
      </c>
      <c r="B89"/>
      <c r="C89" t="s">
        <v>27</v>
      </c>
      <c r="D89" t="s">
        <v>196</v>
      </c>
      <c r="E89" t="s">
        <v>27</v>
      </c>
      <c r="F89" t="s">
        <v>181</v>
      </c>
      <c r="G89" t="s">
        <v>182</v>
      </c>
      <c r="H89"/>
      <c r="I89"/>
      <c r="J89" t="s">
        <v>152</v>
      </c>
      <c r="K89"/>
      <c r="L89"/>
      <c r="M89" s="18">
        <v>15516</v>
      </c>
      <c r="N89" t="s">
        <v>14</v>
      </c>
      <c r="O89" s="13">
        <v>45589</v>
      </c>
      <c r="P89" s="13">
        <v>45610</v>
      </c>
      <c r="Q89" s="13">
        <v>45595</v>
      </c>
      <c r="R89" t="s">
        <v>176</v>
      </c>
      <c r="S89" t="s">
        <v>175</v>
      </c>
    </row>
    <row r="90" spans="1:19" ht="20.100000000000001" customHeight="1" x14ac:dyDescent="0.3">
      <c r="A90">
        <v>240081061</v>
      </c>
      <c r="B90"/>
      <c r="C90" t="s">
        <v>27</v>
      </c>
      <c r="D90" t="s">
        <v>33</v>
      </c>
      <c r="E90" t="s">
        <v>27</v>
      </c>
      <c r="F90" t="s">
        <v>137</v>
      </c>
      <c r="G90" t="s">
        <v>150</v>
      </c>
      <c r="H90" t="s">
        <v>141</v>
      </c>
      <c r="I90">
        <v>100</v>
      </c>
      <c r="J90" t="s">
        <v>152</v>
      </c>
      <c r="K90"/>
      <c r="L90"/>
      <c r="M90" s="18">
        <v>10045</v>
      </c>
      <c r="N90">
        <v>8879</v>
      </c>
      <c r="O90" s="13">
        <v>45591</v>
      </c>
      <c r="P90" s="13">
        <v>45612</v>
      </c>
      <c r="Q90" s="13" t="s">
        <v>283</v>
      </c>
      <c r="R90" t="s">
        <v>283</v>
      </c>
      <c r="S90" t="s">
        <v>204</v>
      </c>
    </row>
    <row r="91" spans="1:19" ht="20.100000000000001" customHeight="1" x14ac:dyDescent="0.3">
      <c r="A91">
        <v>1718948</v>
      </c>
      <c r="B91">
        <v>1286883</v>
      </c>
      <c r="C91" t="s">
        <v>119</v>
      </c>
      <c r="D91" t="s">
        <v>110</v>
      </c>
      <c r="E91" t="s">
        <v>6</v>
      </c>
      <c r="F91" t="s">
        <v>137</v>
      </c>
      <c r="G91" t="s">
        <v>150</v>
      </c>
      <c r="H91" t="s">
        <v>141</v>
      </c>
      <c r="I91">
        <v>90</v>
      </c>
      <c r="J91" t="s">
        <v>152</v>
      </c>
      <c r="K91"/>
      <c r="L91"/>
      <c r="M91" s="18">
        <v>11649</v>
      </c>
      <c r="N91">
        <v>11749</v>
      </c>
      <c r="O91" s="13">
        <v>45591</v>
      </c>
      <c r="P91" s="13">
        <v>45606</v>
      </c>
      <c r="Q91" s="13">
        <v>45614</v>
      </c>
      <c r="R91" t="s">
        <v>176</v>
      </c>
      <c r="S91" t="s">
        <v>175</v>
      </c>
    </row>
    <row r="92" spans="1:19" ht="20.100000000000001" customHeight="1" x14ac:dyDescent="0.3">
      <c r="A92">
        <v>1718949</v>
      </c>
      <c r="B92">
        <v>1286883</v>
      </c>
      <c r="C92" t="s">
        <v>119</v>
      </c>
      <c r="D92" t="s">
        <v>110</v>
      </c>
      <c r="E92" t="s">
        <v>6</v>
      </c>
      <c r="F92" t="s">
        <v>137</v>
      </c>
      <c r="G92" t="s">
        <v>150</v>
      </c>
      <c r="H92" t="s">
        <v>141</v>
      </c>
      <c r="I92">
        <v>90</v>
      </c>
      <c r="J92" t="s">
        <v>152</v>
      </c>
      <c r="K92"/>
      <c r="L92"/>
      <c r="M92" s="18">
        <v>11649</v>
      </c>
      <c r="N92">
        <v>11749</v>
      </c>
      <c r="O92" s="13">
        <v>45591</v>
      </c>
      <c r="P92" s="13">
        <v>45606</v>
      </c>
      <c r="Q92" s="13">
        <v>45614</v>
      </c>
      <c r="R92" t="s">
        <v>176</v>
      </c>
      <c r="S92" t="s">
        <v>175</v>
      </c>
    </row>
    <row r="93" spans="1:19" ht="20.100000000000001" customHeight="1" x14ac:dyDescent="0.3">
      <c r="A93"/>
      <c r="B93"/>
      <c r="C93" t="s">
        <v>216</v>
      </c>
      <c r="D93" t="s">
        <v>97</v>
      </c>
      <c r="E93" t="s">
        <v>6</v>
      </c>
      <c r="F93" t="s">
        <v>137</v>
      </c>
      <c r="G93" t="s">
        <v>140</v>
      </c>
      <c r="H93" t="s">
        <v>143</v>
      </c>
      <c r="I93">
        <v>100</v>
      </c>
      <c r="J93" t="s">
        <v>151</v>
      </c>
      <c r="K93"/>
      <c r="L93"/>
      <c r="M93" s="18">
        <v>5100</v>
      </c>
      <c r="N93">
        <v>4800</v>
      </c>
      <c r="O93" s="13">
        <v>45593</v>
      </c>
      <c r="P93" s="13">
        <v>45607</v>
      </c>
      <c r="Q93" s="13">
        <v>45617</v>
      </c>
      <c r="R93" t="s">
        <v>176</v>
      </c>
      <c r="S93" t="s">
        <v>175</v>
      </c>
    </row>
    <row r="94" spans="1:19" ht="20.100000000000001" customHeight="1" x14ac:dyDescent="0.3">
      <c r="A94"/>
      <c r="B94"/>
      <c r="C94" t="s">
        <v>216</v>
      </c>
      <c r="D94" t="s">
        <v>97</v>
      </c>
      <c r="E94" t="s">
        <v>6</v>
      </c>
      <c r="F94" t="s">
        <v>137</v>
      </c>
      <c r="G94" t="s">
        <v>140</v>
      </c>
      <c r="H94" t="s">
        <v>143</v>
      </c>
      <c r="I94">
        <v>120</v>
      </c>
      <c r="J94" t="s">
        <v>151</v>
      </c>
      <c r="K94"/>
      <c r="L94"/>
      <c r="M94" s="18">
        <v>5300</v>
      </c>
      <c r="N94">
        <v>4800</v>
      </c>
      <c r="O94" s="13">
        <v>45593</v>
      </c>
      <c r="P94" s="13">
        <v>45607</v>
      </c>
      <c r="Q94" s="13">
        <v>45617</v>
      </c>
      <c r="R94" t="s">
        <v>176</v>
      </c>
      <c r="S94" t="s">
        <v>175</v>
      </c>
    </row>
    <row r="95" spans="1:19" ht="20.100000000000001" customHeight="1" x14ac:dyDescent="0.3">
      <c r="A95">
        <v>1744766</v>
      </c>
      <c r="B95">
        <v>1298738</v>
      </c>
      <c r="C95" t="s">
        <v>217</v>
      </c>
      <c r="D95" t="s">
        <v>222</v>
      </c>
      <c r="E95" t="s">
        <v>6</v>
      </c>
      <c r="F95" t="s">
        <v>137</v>
      </c>
      <c r="G95" t="s">
        <v>150</v>
      </c>
      <c r="H95" t="s">
        <v>142</v>
      </c>
      <c r="I95">
        <v>80</v>
      </c>
      <c r="J95" t="s">
        <v>151</v>
      </c>
      <c r="K95"/>
      <c r="L95"/>
      <c r="M95" s="18">
        <v>12099</v>
      </c>
      <c r="N95" t="s">
        <v>14</v>
      </c>
      <c r="O95" s="13">
        <v>45607</v>
      </c>
      <c r="P95" s="13">
        <v>45622</v>
      </c>
      <c r="Q95" s="13">
        <v>45623</v>
      </c>
      <c r="R95" t="s">
        <v>176</v>
      </c>
      <c r="S95" t="s">
        <v>175</v>
      </c>
    </row>
    <row r="96" spans="1:19" ht="20.100000000000001" customHeight="1" x14ac:dyDescent="0.3">
      <c r="A96">
        <v>240082226</v>
      </c>
      <c r="B96"/>
      <c r="C96" t="s">
        <v>45</v>
      </c>
      <c r="D96" t="s">
        <v>196</v>
      </c>
      <c r="E96" t="s">
        <v>27</v>
      </c>
      <c r="F96" t="s">
        <v>181</v>
      </c>
      <c r="G96" t="s">
        <v>182</v>
      </c>
      <c r="H96" t="s">
        <v>218</v>
      </c>
      <c r="I96"/>
      <c r="J96" t="s">
        <v>152</v>
      </c>
      <c r="K96" t="s">
        <v>219</v>
      </c>
      <c r="L96"/>
      <c r="M96" s="18">
        <v>15872</v>
      </c>
      <c r="N96" t="s">
        <v>14</v>
      </c>
      <c r="O96" s="13">
        <v>45604</v>
      </c>
      <c r="P96" s="13">
        <v>45629</v>
      </c>
      <c r="Q96" s="13">
        <v>45610</v>
      </c>
      <c r="R96" t="s">
        <v>176</v>
      </c>
      <c r="S96" t="s">
        <v>175</v>
      </c>
    </row>
    <row r="97" spans="1:19" ht="20.100000000000001" customHeight="1" x14ac:dyDescent="0.3">
      <c r="A97" t="s">
        <v>220</v>
      </c>
      <c r="B97"/>
      <c r="C97" t="s">
        <v>221</v>
      </c>
      <c r="D97" t="s">
        <v>48</v>
      </c>
      <c r="E97" t="s">
        <v>221</v>
      </c>
      <c r="F97" t="s">
        <v>137</v>
      </c>
      <c r="G97" t="s">
        <v>140</v>
      </c>
      <c r="H97" t="s">
        <v>161</v>
      </c>
      <c r="I97">
        <v>120</v>
      </c>
      <c r="J97" t="s">
        <v>151</v>
      </c>
      <c r="K97"/>
      <c r="L97"/>
      <c r="M97" s="18">
        <v>4520</v>
      </c>
      <c r="N97" t="s">
        <v>77</v>
      </c>
      <c r="O97" s="13">
        <v>45606</v>
      </c>
      <c r="P97" s="13">
        <v>45618</v>
      </c>
      <c r="Q97" s="13">
        <v>45617</v>
      </c>
      <c r="R97" t="s">
        <v>176</v>
      </c>
      <c r="S97" t="s">
        <v>175</v>
      </c>
    </row>
    <row r="98" spans="1:19" ht="20.100000000000001" customHeight="1" x14ac:dyDescent="0.3">
      <c r="A98" t="s">
        <v>223</v>
      </c>
      <c r="B98"/>
      <c r="C98" t="s">
        <v>75</v>
      </c>
      <c r="D98" t="s">
        <v>177</v>
      </c>
      <c r="E98" t="s">
        <v>49</v>
      </c>
      <c r="F98" t="s">
        <v>137</v>
      </c>
      <c r="G98" t="s">
        <v>150</v>
      </c>
      <c r="H98" t="s">
        <v>141</v>
      </c>
      <c r="I98">
        <v>90</v>
      </c>
      <c r="J98" t="s">
        <v>152</v>
      </c>
      <c r="K98"/>
      <c r="L98"/>
      <c r="M98" s="18">
        <v>5766</v>
      </c>
      <c r="N98" t="s">
        <v>77</v>
      </c>
      <c r="O98" s="13">
        <v>45608</v>
      </c>
      <c r="P98" s="13">
        <v>45622</v>
      </c>
      <c r="Q98" s="13">
        <v>45621</v>
      </c>
      <c r="R98" t="s">
        <v>176</v>
      </c>
      <c r="S98" t="s">
        <v>175</v>
      </c>
    </row>
    <row r="99" spans="1:19" ht="20.100000000000001" customHeight="1" x14ac:dyDescent="0.3">
      <c r="A99">
        <v>1752544</v>
      </c>
      <c r="B99">
        <v>1302011</v>
      </c>
      <c r="C99" t="s">
        <v>224</v>
      </c>
      <c r="D99" t="s">
        <v>97</v>
      </c>
      <c r="E99" t="s">
        <v>6</v>
      </c>
      <c r="F99" t="s">
        <v>137</v>
      </c>
      <c r="G99" t="s">
        <v>140</v>
      </c>
      <c r="H99" t="s">
        <v>161</v>
      </c>
      <c r="I99">
        <v>160</v>
      </c>
      <c r="J99" t="s">
        <v>157</v>
      </c>
      <c r="K99"/>
      <c r="L99"/>
      <c r="M99" s="18">
        <v>11395</v>
      </c>
      <c r="N99" t="s">
        <v>14</v>
      </c>
      <c r="O99" s="13">
        <v>45608</v>
      </c>
      <c r="P99" s="13">
        <v>45620</v>
      </c>
      <c r="Q99" s="13">
        <v>45623</v>
      </c>
      <c r="R99" t="s">
        <v>176</v>
      </c>
      <c r="S99" t="s">
        <v>175</v>
      </c>
    </row>
    <row r="100" spans="1:19" ht="20.100000000000001" customHeight="1" x14ac:dyDescent="0.3">
      <c r="A100">
        <v>1755075</v>
      </c>
      <c r="B100">
        <v>1303159</v>
      </c>
      <c r="C100" t="s">
        <v>225</v>
      </c>
      <c r="D100" t="s">
        <v>48</v>
      </c>
      <c r="E100" t="s">
        <v>6</v>
      </c>
      <c r="F100" t="s">
        <v>137</v>
      </c>
      <c r="G100" t="s">
        <v>150</v>
      </c>
      <c r="H100" t="s">
        <v>226</v>
      </c>
      <c r="I100">
        <v>80</v>
      </c>
      <c r="J100" t="s">
        <v>151</v>
      </c>
      <c r="K100"/>
      <c r="L100"/>
      <c r="M100" s="18">
        <v>12919</v>
      </c>
      <c r="N100" t="s">
        <v>14</v>
      </c>
      <c r="O100" s="13">
        <v>45610</v>
      </c>
      <c r="P100" s="13">
        <v>45626</v>
      </c>
      <c r="Q100" s="13">
        <v>45623</v>
      </c>
      <c r="R100" t="s">
        <v>176</v>
      </c>
      <c r="S100" t="s">
        <v>175</v>
      </c>
    </row>
    <row r="101" spans="1:19" ht="20.100000000000001" customHeight="1" x14ac:dyDescent="0.3">
      <c r="A101" t="s">
        <v>227</v>
      </c>
      <c r="B101"/>
      <c r="C101" t="s">
        <v>75</v>
      </c>
      <c r="D101" t="s">
        <v>177</v>
      </c>
      <c r="E101" t="s">
        <v>49</v>
      </c>
      <c r="F101" t="s">
        <v>137</v>
      </c>
      <c r="G101" t="s">
        <v>150</v>
      </c>
      <c r="H101" t="s">
        <v>139</v>
      </c>
      <c r="I101">
        <v>120</v>
      </c>
      <c r="J101" t="s">
        <v>286</v>
      </c>
      <c r="K101" t="s">
        <v>286</v>
      </c>
      <c r="L101"/>
      <c r="M101" s="18">
        <v>6376</v>
      </c>
      <c r="N101" t="s">
        <v>77</v>
      </c>
      <c r="O101" s="13">
        <v>45610</v>
      </c>
      <c r="P101" s="13">
        <v>45623</v>
      </c>
      <c r="Q101" s="13">
        <v>45621</v>
      </c>
      <c r="R101" t="s">
        <v>176</v>
      </c>
      <c r="S101" t="s">
        <v>175</v>
      </c>
    </row>
    <row r="102" spans="1:19" ht="20.100000000000001" customHeight="1" x14ac:dyDescent="0.3">
      <c r="A102" t="s">
        <v>228</v>
      </c>
      <c r="B102"/>
      <c r="C102" t="s">
        <v>75</v>
      </c>
      <c r="D102" t="s">
        <v>177</v>
      </c>
      <c r="E102" t="s">
        <v>49</v>
      </c>
      <c r="F102" t="s">
        <v>137</v>
      </c>
      <c r="G102" t="s">
        <v>229</v>
      </c>
      <c r="H102" t="s">
        <v>139</v>
      </c>
      <c r="I102">
        <v>90</v>
      </c>
      <c r="J102" t="s">
        <v>152</v>
      </c>
      <c r="K102"/>
      <c r="L102"/>
      <c r="M102" s="18">
        <v>5294</v>
      </c>
      <c r="N102" t="s">
        <v>77</v>
      </c>
      <c r="O102" s="13">
        <v>45610</v>
      </c>
      <c r="P102" s="13">
        <v>45623</v>
      </c>
      <c r="Q102" s="13">
        <v>45621</v>
      </c>
      <c r="R102" t="s">
        <v>176</v>
      </c>
      <c r="S102" t="s">
        <v>175</v>
      </c>
    </row>
    <row r="103" spans="1:19" ht="20.100000000000001" customHeight="1" x14ac:dyDescent="0.3">
      <c r="A103">
        <v>265453625</v>
      </c>
      <c r="B103"/>
      <c r="C103" t="s">
        <v>231</v>
      </c>
      <c r="D103" t="s">
        <v>33</v>
      </c>
      <c r="E103" t="s">
        <v>232</v>
      </c>
      <c r="F103" t="s">
        <v>137</v>
      </c>
      <c r="G103" t="s">
        <v>229</v>
      </c>
      <c r="H103" t="s">
        <v>233</v>
      </c>
      <c r="I103">
        <v>80</v>
      </c>
      <c r="J103" t="s">
        <v>151</v>
      </c>
      <c r="K103"/>
      <c r="L103"/>
      <c r="M103" s="18">
        <v>7396</v>
      </c>
      <c r="N103" t="s">
        <v>14</v>
      </c>
      <c r="O103" s="13">
        <v>45613</v>
      </c>
      <c r="P103" s="13">
        <v>45624</v>
      </c>
      <c r="Q103" s="13">
        <v>45622</v>
      </c>
      <c r="R103" t="s">
        <v>176</v>
      </c>
      <c r="S103" t="s">
        <v>175</v>
      </c>
    </row>
    <row r="104" spans="1:19" ht="20.100000000000001" customHeight="1" x14ac:dyDescent="0.3">
      <c r="A104">
        <v>1762617</v>
      </c>
      <c r="B104">
        <v>1306879</v>
      </c>
      <c r="C104" t="s">
        <v>119</v>
      </c>
      <c r="D104" t="s">
        <v>33</v>
      </c>
      <c r="E104" t="s">
        <v>6</v>
      </c>
      <c r="F104" t="s">
        <v>137</v>
      </c>
      <c r="G104" t="s">
        <v>150</v>
      </c>
      <c r="H104" t="s">
        <v>141</v>
      </c>
      <c r="I104">
        <v>90</v>
      </c>
      <c r="J104" t="s">
        <v>152</v>
      </c>
      <c r="K104"/>
      <c r="L104"/>
      <c r="M104" s="18">
        <v>13439</v>
      </c>
      <c r="N104">
        <v>13575</v>
      </c>
      <c r="O104" s="13">
        <v>45616</v>
      </c>
      <c r="P104" s="13">
        <v>45631</v>
      </c>
      <c r="Q104" s="13">
        <v>45622</v>
      </c>
      <c r="R104" t="s">
        <v>176</v>
      </c>
      <c r="S104" t="s">
        <v>175</v>
      </c>
    </row>
    <row r="105" spans="1:19" ht="20.100000000000001" customHeight="1" x14ac:dyDescent="0.3">
      <c r="A105"/>
      <c r="B105"/>
      <c r="C105" t="s">
        <v>35</v>
      </c>
      <c r="D105" t="s">
        <v>36</v>
      </c>
      <c r="E105" t="s">
        <v>37</v>
      </c>
      <c r="F105" t="s">
        <v>137</v>
      </c>
      <c r="G105" t="s">
        <v>234</v>
      </c>
      <c r="H105" t="s">
        <v>235</v>
      </c>
      <c r="I105">
        <v>160</v>
      </c>
      <c r="J105" t="s">
        <v>152</v>
      </c>
      <c r="K105"/>
      <c r="L105"/>
      <c r="M105" s="18">
        <v>5100</v>
      </c>
      <c r="N105" t="s">
        <v>77</v>
      </c>
      <c r="O105" s="13">
        <v>45610</v>
      </c>
      <c r="P105" s="13">
        <v>45634</v>
      </c>
      <c r="Q105" s="13">
        <v>45519</v>
      </c>
      <c r="R105" t="s">
        <v>176</v>
      </c>
      <c r="S105" t="s">
        <v>175</v>
      </c>
    </row>
    <row r="106" spans="1:19" ht="20.100000000000001" customHeight="1" x14ac:dyDescent="0.3">
      <c r="A106"/>
      <c r="B106"/>
      <c r="C106" t="s">
        <v>236</v>
      </c>
      <c r="D106" t="s">
        <v>42</v>
      </c>
      <c r="E106" t="s">
        <v>30</v>
      </c>
      <c r="F106" t="s">
        <v>137</v>
      </c>
      <c r="G106" t="s">
        <v>140</v>
      </c>
      <c r="H106" t="s">
        <v>237</v>
      </c>
      <c r="I106">
        <v>160</v>
      </c>
      <c r="J106" t="s">
        <v>160</v>
      </c>
      <c r="K106" t="s">
        <v>151</v>
      </c>
      <c r="L106"/>
      <c r="M106" s="18">
        <v>6000</v>
      </c>
      <c r="N106">
        <v>5800</v>
      </c>
      <c r="O106" s="13">
        <v>45618</v>
      </c>
      <c r="P106" s="13">
        <v>45628</v>
      </c>
      <c r="Q106" s="13">
        <v>45623</v>
      </c>
      <c r="R106" t="s">
        <v>176</v>
      </c>
      <c r="S106" t="s">
        <v>175</v>
      </c>
    </row>
    <row r="107" spans="1:19" ht="20.100000000000001" customHeight="1" x14ac:dyDescent="0.3">
      <c r="A107">
        <v>1765451</v>
      </c>
      <c r="B107">
        <v>1308241</v>
      </c>
      <c r="C107" t="s">
        <v>238</v>
      </c>
      <c r="D107" t="s">
        <v>239</v>
      </c>
      <c r="E107" t="s">
        <v>6</v>
      </c>
      <c r="F107" t="s">
        <v>137</v>
      </c>
      <c r="G107" t="s">
        <v>234</v>
      </c>
      <c r="H107" t="s">
        <v>240</v>
      </c>
      <c r="I107">
        <v>120</v>
      </c>
      <c r="J107" t="s">
        <v>286</v>
      </c>
      <c r="K107" t="s">
        <v>286</v>
      </c>
      <c r="L107"/>
      <c r="M107" s="18">
        <v>10885</v>
      </c>
      <c r="N107">
        <v>7965</v>
      </c>
      <c r="O107" s="13">
        <v>45620</v>
      </c>
      <c r="P107" s="13">
        <v>45631</v>
      </c>
      <c r="Q107" s="13">
        <v>45636</v>
      </c>
      <c r="R107" t="s">
        <v>176</v>
      </c>
      <c r="S107" t="s">
        <v>175</v>
      </c>
    </row>
    <row r="108" spans="1:19" ht="20.100000000000001" customHeight="1" x14ac:dyDescent="0.3">
      <c r="A108"/>
      <c r="B108"/>
      <c r="C108" t="s">
        <v>35</v>
      </c>
      <c r="D108" t="s">
        <v>36</v>
      </c>
      <c r="E108" t="s">
        <v>37</v>
      </c>
      <c r="F108" t="s">
        <v>181</v>
      </c>
      <c r="G108" t="s">
        <v>241</v>
      </c>
      <c r="H108" t="s">
        <v>241</v>
      </c>
      <c r="I108"/>
      <c r="J108" t="s">
        <v>152</v>
      </c>
      <c r="K108"/>
      <c r="L108"/>
      <c r="M108" s="18">
        <v>6000</v>
      </c>
      <c r="N108">
        <v>6000</v>
      </c>
      <c r="O108" s="13">
        <v>45615</v>
      </c>
      <c r="P108" s="13">
        <v>45631</v>
      </c>
      <c r="Q108" s="13">
        <v>45616</v>
      </c>
      <c r="R108" t="s">
        <v>242</v>
      </c>
      <c r="S108" t="s">
        <v>175</v>
      </c>
    </row>
    <row r="109" spans="1:19" ht="20.100000000000001" customHeight="1" x14ac:dyDescent="0.3">
      <c r="A109">
        <v>1782674</v>
      </c>
      <c r="B109">
        <v>1315860</v>
      </c>
      <c r="C109" t="s">
        <v>243</v>
      </c>
      <c r="D109" t="s">
        <v>244</v>
      </c>
      <c r="E109" t="s">
        <v>6</v>
      </c>
      <c r="F109" t="s">
        <v>245</v>
      </c>
      <c r="G109"/>
      <c r="H109" t="s">
        <v>246</v>
      </c>
      <c r="I109"/>
      <c r="J109" t="s">
        <v>152</v>
      </c>
      <c r="K109" t="s">
        <v>254</v>
      </c>
      <c r="L109"/>
      <c r="M109" s="18">
        <v>8449</v>
      </c>
      <c r="N109" t="s">
        <v>14</v>
      </c>
      <c r="O109" s="13">
        <v>45623</v>
      </c>
      <c r="P109" s="13">
        <v>45636</v>
      </c>
      <c r="Q109" s="13">
        <v>45649</v>
      </c>
      <c r="R109" t="s">
        <v>24</v>
      </c>
      <c r="S109" t="s">
        <v>175</v>
      </c>
    </row>
    <row r="110" spans="1:19" ht="20.100000000000001" customHeight="1" x14ac:dyDescent="0.3">
      <c r="A110">
        <v>1781530</v>
      </c>
      <c r="B110">
        <v>1315450</v>
      </c>
      <c r="C110" t="s">
        <v>247</v>
      </c>
      <c r="D110" t="s">
        <v>52</v>
      </c>
      <c r="E110" t="s">
        <v>6</v>
      </c>
      <c r="F110" t="s">
        <v>245</v>
      </c>
      <c r="G110" t="s">
        <v>248</v>
      </c>
      <c r="H110" t="s">
        <v>249</v>
      </c>
      <c r="I110"/>
      <c r="J110" t="s">
        <v>151</v>
      </c>
      <c r="K110" t="s">
        <v>250</v>
      </c>
      <c r="L110"/>
      <c r="M110" s="18">
        <v>10249</v>
      </c>
      <c r="N110">
        <v>6211</v>
      </c>
      <c r="O110" s="13">
        <v>45623</v>
      </c>
      <c r="P110" s="13">
        <v>45636</v>
      </c>
      <c r="Q110" s="13">
        <v>45645</v>
      </c>
      <c r="R110" t="s">
        <v>176</v>
      </c>
      <c r="S110" t="s">
        <v>175</v>
      </c>
    </row>
    <row r="111" spans="1:19" ht="20.100000000000001" customHeight="1" x14ac:dyDescent="0.3">
      <c r="A111">
        <v>1795447</v>
      </c>
      <c r="B111">
        <v>1321584</v>
      </c>
      <c r="C111" t="s">
        <v>251</v>
      </c>
      <c r="D111" t="s">
        <v>252</v>
      </c>
      <c r="E111" t="s">
        <v>6</v>
      </c>
      <c r="F111" t="s">
        <v>137</v>
      </c>
      <c r="G111" t="s">
        <v>150</v>
      </c>
      <c r="H111" t="s">
        <v>142</v>
      </c>
      <c r="I111">
        <v>100</v>
      </c>
      <c r="J111" t="s">
        <v>152</v>
      </c>
      <c r="K111"/>
      <c r="L111"/>
      <c r="M111" s="18">
        <v>14905</v>
      </c>
      <c r="N111" t="s">
        <v>14</v>
      </c>
      <c r="O111" s="13">
        <v>45625</v>
      </c>
      <c r="P111" s="13">
        <v>45641</v>
      </c>
      <c r="Q111" s="13" t="s">
        <v>283</v>
      </c>
      <c r="R111" t="s">
        <v>269</v>
      </c>
      <c r="S111" t="s">
        <v>204</v>
      </c>
    </row>
    <row r="112" spans="1:19" ht="20.100000000000001" customHeight="1" x14ac:dyDescent="0.3">
      <c r="A112">
        <v>1808440</v>
      </c>
      <c r="B112">
        <v>1327172</v>
      </c>
      <c r="C112" t="s">
        <v>253</v>
      </c>
      <c r="D112" t="s">
        <v>60</v>
      </c>
      <c r="E112" t="s">
        <v>6</v>
      </c>
      <c r="F112" t="s">
        <v>245</v>
      </c>
      <c r="G112" t="s">
        <v>248</v>
      </c>
      <c r="H112" t="s">
        <v>249</v>
      </c>
      <c r="I112"/>
      <c r="J112" t="s">
        <v>152</v>
      </c>
      <c r="K112" t="s">
        <v>254</v>
      </c>
      <c r="L112"/>
      <c r="M112" s="18">
        <v>10249</v>
      </c>
      <c r="N112" t="s">
        <v>14</v>
      </c>
      <c r="O112" s="13">
        <v>45626</v>
      </c>
      <c r="P112" s="13">
        <v>45638</v>
      </c>
      <c r="Q112" s="13" t="s">
        <v>283</v>
      </c>
      <c r="R112" t="s">
        <v>283</v>
      </c>
      <c r="S112" t="s">
        <v>204</v>
      </c>
    </row>
    <row r="113" spans="1:19" ht="20.100000000000001" customHeight="1" x14ac:dyDescent="0.3">
      <c r="A113">
        <v>1808441</v>
      </c>
      <c r="B113">
        <v>1327172</v>
      </c>
      <c r="C113" t="s">
        <v>255</v>
      </c>
      <c r="D113" t="s">
        <v>60</v>
      </c>
      <c r="E113" t="s">
        <v>6</v>
      </c>
      <c r="F113" t="s">
        <v>245</v>
      </c>
      <c r="G113" t="s">
        <v>171</v>
      </c>
      <c r="H113"/>
      <c r="I113"/>
      <c r="J113" t="s">
        <v>152</v>
      </c>
      <c r="K113" t="s">
        <v>256</v>
      </c>
      <c r="L113"/>
      <c r="M113" s="18">
        <v>9029</v>
      </c>
      <c r="N113" t="s">
        <v>14</v>
      </c>
      <c r="O113" s="13">
        <v>45626</v>
      </c>
      <c r="P113" s="13">
        <v>45638</v>
      </c>
      <c r="Q113" s="13" t="s">
        <v>283</v>
      </c>
      <c r="R113" t="s">
        <v>283</v>
      </c>
      <c r="S113" t="s">
        <v>204</v>
      </c>
    </row>
    <row r="114" spans="1:19" ht="20.100000000000001" customHeight="1" x14ac:dyDescent="0.3">
      <c r="A114">
        <v>1805052</v>
      </c>
      <c r="B114">
        <v>1325637</v>
      </c>
      <c r="C114" t="s">
        <v>257</v>
      </c>
      <c r="D114" t="s">
        <v>132</v>
      </c>
      <c r="E114" t="s">
        <v>6</v>
      </c>
      <c r="F114" t="s">
        <v>245</v>
      </c>
      <c r="G114" t="s">
        <v>258</v>
      </c>
      <c r="H114"/>
      <c r="I114"/>
      <c r="J114" t="s">
        <v>152</v>
      </c>
      <c r="K114" t="s">
        <v>259</v>
      </c>
      <c r="L114"/>
      <c r="M114" s="18">
        <v>9029</v>
      </c>
      <c r="N114" t="s">
        <v>14</v>
      </c>
      <c r="O114" s="13">
        <v>45626</v>
      </c>
      <c r="P114" s="13">
        <v>45638</v>
      </c>
      <c r="Q114" s="13">
        <v>45643</v>
      </c>
      <c r="R114" t="s">
        <v>176</v>
      </c>
      <c r="S114" t="s">
        <v>175</v>
      </c>
    </row>
    <row r="115" spans="1:19" ht="20.100000000000001" customHeight="1" x14ac:dyDescent="0.3">
      <c r="A115">
        <v>1813823</v>
      </c>
      <c r="B115">
        <v>1329646</v>
      </c>
      <c r="C115" t="s">
        <v>260</v>
      </c>
      <c r="D115" t="s">
        <v>65</v>
      </c>
      <c r="E115" t="s">
        <v>6</v>
      </c>
      <c r="F115" t="s">
        <v>137</v>
      </c>
      <c r="G115" t="s">
        <v>229</v>
      </c>
      <c r="H115" t="s">
        <v>139</v>
      </c>
      <c r="I115">
        <v>80</v>
      </c>
      <c r="J115" t="s">
        <v>151</v>
      </c>
      <c r="K115"/>
      <c r="L115"/>
      <c r="M115" s="18">
        <v>12099</v>
      </c>
      <c r="N115" t="s">
        <v>14</v>
      </c>
      <c r="O115" s="13">
        <v>45628</v>
      </c>
      <c r="P115" s="13">
        <v>45643</v>
      </c>
      <c r="Q115" s="13" t="s">
        <v>283</v>
      </c>
      <c r="R115" t="s">
        <v>283</v>
      </c>
      <c r="S115" t="s">
        <v>204</v>
      </c>
    </row>
    <row r="116" spans="1:19" ht="20.100000000000001" customHeight="1" x14ac:dyDescent="0.3">
      <c r="A116" t="s">
        <v>261</v>
      </c>
      <c r="B116"/>
      <c r="C116" t="s">
        <v>75</v>
      </c>
      <c r="D116" t="s">
        <v>177</v>
      </c>
      <c r="E116" t="s">
        <v>49</v>
      </c>
      <c r="F116" t="s">
        <v>137</v>
      </c>
      <c r="G116" t="s">
        <v>229</v>
      </c>
      <c r="H116" t="s">
        <v>233</v>
      </c>
      <c r="I116">
        <v>90</v>
      </c>
      <c r="J116" t="s">
        <v>154</v>
      </c>
      <c r="K116"/>
      <c r="L116"/>
      <c r="M116" s="18">
        <v>5217</v>
      </c>
      <c r="N116" t="s">
        <v>77</v>
      </c>
      <c r="O116" s="13">
        <v>45627</v>
      </c>
      <c r="P116" s="13">
        <v>45640</v>
      </c>
      <c r="Q116" s="13">
        <v>45636</v>
      </c>
      <c r="R116" t="s">
        <v>176</v>
      </c>
      <c r="S116" t="s">
        <v>175</v>
      </c>
    </row>
    <row r="117" spans="1:19" ht="20.100000000000001" customHeight="1" x14ac:dyDescent="0.3">
      <c r="A117">
        <v>1810950</v>
      </c>
      <c r="B117">
        <v>1328141</v>
      </c>
      <c r="C117" t="s">
        <v>262</v>
      </c>
      <c r="D117" t="s">
        <v>123</v>
      </c>
      <c r="E117" t="s">
        <v>6</v>
      </c>
      <c r="F117" t="s">
        <v>137</v>
      </c>
      <c r="G117" t="s">
        <v>138</v>
      </c>
      <c r="H117"/>
      <c r="I117"/>
      <c r="J117" t="s">
        <v>152</v>
      </c>
      <c r="K117" t="s">
        <v>152</v>
      </c>
      <c r="L117"/>
      <c r="M117" s="18">
        <v>10249</v>
      </c>
      <c r="N117">
        <v>6211</v>
      </c>
      <c r="O117" s="13">
        <v>45630</v>
      </c>
      <c r="P117" s="13">
        <v>45640</v>
      </c>
      <c r="Q117" s="13">
        <v>45645</v>
      </c>
      <c r="R117" t="s">
        <v>176</v>
      </c>
      <c r="S117" t="s">
        <v>175</v>
      </c>
    </row>
    <row r="118" spans="1:19" ht="20.100000000000001" customHeight="1" x14ac:dyDescent="0.3">
      <c r="A118">
        <v>240085463</v>
      </c>
      <c r="B118"/>
      <c r="C118" t="s">
        <v>263</v>
      </c>
      <c r="D118" t="s">
        <v>264</v>
      </c>
      <c r="E118" t="s">
        <v>27</v>
      </c>
      <c r="F118" t="s">
        <v>137</v>
      </c>
      <c r="G118" t="s">
        <v>150</v>
      </c>
      <c r="H118" t="s">
        <v>141</v>
      </c>
      <c r="I118"/>
      <c r="J118" t="s">
        <v>152</v>
      </c>
      <c r="K118"/>
      <c r="L118"/>
      <c r="M118" s="18">
        <v>10445</v>
      </c>
      <c r="N118">
        <v>7707</v>
      </c>
      <c r="O118" s="13">
        <v>45635</v>
      </c>
      <c r="P118" s="13">
        <v>45657</v>
      </c>
      <c r="Q118" s="13">
        <v>45638</v>
      </c>
      <c r="R118" t="s">
        <v>176</v>
      </c>
      <c r="S118" t="s">
        <v>175</v>
      </c>
    </row>
    <row r="119" spans="1:19" ht="20.100000000000001" customHeight="1" x14ac:dyDescent="0.3">
      <c r="A119">
        <v>1818591</v>
      </c>
      <c r="B119">
        <v>1332300</v>
      </c>
      <c r="C119" t="s">
        <v>265</v>
      </c>
      <c r="D119" t="s">
        <v>60</v>
      </c>
      <c r="E119" t="s">
        <v>6</v>
      </c>
      <c r="F119" t="s">
        <v>245</v>
      </c>
      <c r="G119" t="s">
        <v>266</v>
      </c>
      <c r="H119" t="s">
        <v>249</v>
      </c>
      <c r="I119"/>
      <c r="J119" t="s">
        <v>152</v>
      </c>
      <c r="K119" t="s">
        <v>254</v>
      </c>
      <c r="L119"/>
      <c r="M119" s="18">
        <v>11199</v>
      </c>
      <c r="N119">
        <v>11257</v>
      </c>
      <c r="O119" s="13">
        <v>45638</v>
      </c>
      <c r="P119" s="13">
        <v>45650</v>
      </c>
      <c r="Q119" s="13">
        <v>45645</v>
      </c>
      <c r="R119" t="s">
        <v>176</v>
      </c>
      <c r="S119" t="s">
        <v>175</v>
      </c>
    </row>
    <row r="120" spans="1:19" ht="20.100000000000001" customHeight="1" x14ac:dyDescent="0.3">
      <c r="A120">
        <v>1818396</v>
      </c>
      <c r="B120">
        <v>1332179</v>
      </c>
      <c r="C120" t="s">
        <v>267</v>
      </c>
      <c r="D120" t="s">
        <v>33</v>
      </c>
      <c r="E120" t="s">
        <v>6</v>
      </c>
      <c r="F120" t="s">
        <v>137</v>
      </c>
      <c r="G120" t="s">
        <v>150</v>
      </c>
      <c r="H120" t="s">
        <v>139</v>
      </c>
      <c r="I120">
        <v>80</v>
      </c>
      <c r="J120" t="s">
        <v>152</v>
      </c>
      <c r="K120"/>
      <c r="L120"/>
      <c r="M120" s="18">
        <v>13099</v>
      </c>
      <c r="N120">
        <v>13231</v>
      </c>
      <c r="O120" s="13">
        <v>45638</v>
      </c>
      <c r="P120" s="13">
        <v>45654</v>
      </c>
      <c r="Q120" s="13">
        <v>45655</v>
      </c>
      <c r="R120" t="s">
        <v>176</v>
      </c>
      <c r="S120" t="s">
        <v>175</v>
      </c>
    </row>
    <row r="121" spans="1:19" ht="20.100000000000001" customHeight="1" x14ac:dyDescent="0.3">
      <c r="A121">
        <v>240085758</v>
      </c>
      <c r="B121"/>
      <c r="C121" t="s">
        <v>45</v>
      </c>
      <c r="D121" t="s">
        <v>196</v>
      </c>
      <c r="E121" t="s">
        <v>27</v>
      </c>
      <c r="F121" t="s">
        <v>181</v>
      </c>
      <c r="G121" t="s">
        <v>182</v>
      </c>
      <c r="H121" t="s">
        <v>218</v>
      </c>
      <c r="I121"/>
      <c r="J121" t="s">
        <v>152</v>
      </c>
      <c r="K121" t="s">
        <v>268</v>
      </c>
      <c r="L121"/>
      <c r="M121" s="18">
        <v>8700</v>
      </c>
      <c r="N121" t="s">
        <v>77</v>
      </c>
      <c r="O121" s="13">
        <v>45640</v>
      </c>
      <c r="P121" s="13">
        <v>45662</v>
      </c>
      <c r="Q121" s="13">
        <v>45655</v>
      </c>
      <c r="R121" t="s">
        <v>176</v>
      </c>
      <c r="S121" t="s">
        <v>175</v>
      </c>
    </row>
    <row r="122" spans="1:19" ht="20.100000000000001" customHeight="1" x14ac:dyDescent="0.3">
      <c r="A122"/>
      <c r="B122"/>
      <c r="C122"/>
      <c r="D122"/>
      <c r="E122"/>
      <c r="F122"/>
      <c r="G122"/>
      <c r="H122"/>
      <c r="I122"/>
      <c r="J122"/>
      <c r="K122"/>
      <c r="L122"/>
      <c r="M122" s="18"/>
      <c r="N122"/>
      <c r="O122" s="13"/>
      <c r="P122" s="13"/>
      <c r="Q122" s="13"/>
      <c r="R122"/>
    </row>
    <row r="123" spans="1:19" ht="20.100000000000001" customHeight="1" x14ac:dyDescent="0.3">
      <c r="A123"/>
      <c r="B123"/>
      <c r="C123"/>
      <c r="D123"/>
      <c r="E123"/>
      <c r="F123"/>
      <c r="G123"/>
      <c r="H123"/>
      <c r="I123"/>
      <c r="J123"/>
      <c r="K123"/>
      <c r="L123"/>
      <c r="M123" s="18"/>
      <c r="N123"/>
      <c r="O123" s="13"/>
      <c r="P123" s="13"/>
      <c r="Q123" s="13"/>
      <c r="R123"/>
    </row>
    <row r="124" spans="1:19" ht="20.100000000000001" customHeight="1" x14ac:dyDescent="0.3">
      <c r="A124"/>
      <c r="B124"/>
      <c r="C124"/>
      <c r="D124"/>
      <c r="E124"/>
      <c r="F124"/>
      <c r="G124"/>
      <c r="H124"/>
      <c r="I124"/>
      <c r="J124"/>
      <c r="K124"/>
      <c r="L124"/>
      <c r="M124" s="18"/>
      <c r="N124"/>
      <c r="O124" s="13"/>
      <c r="P124" s="13"/>
      <c r="Q124" s="13"/>
      <c r="R124"/>
    </row>
    <row r="125" spans="1:19" ht="20.100000000000001" customHeight="1" x14ac:dyDescent="0.3">
      <c r="A125"/>
      <c r="B125"/>
      <c r="C125"/>
      <c r="D125"/>
      <c r="E125"/>
      <c r="F125"/>
      <c r="G125"/>
      <c r="H125"/>
      <c r="I125"/>
      <c r="J125"/>
      <c r="K125"/>
      <c r="L125"/>
      <c r="M125" s="18"/>
      <c r="N125"/>
      <c r="O125" s="13"/>
      <c r="P125" s="13"/>
      <c r="Q125" s="13"/>
      <c r="R125"/>
    </row>
    <row r="126" spans="1:19" ht="20.100000000000001" customHeight="1" x14ac:dyDescent="0.3">
      <c r="A126"/>
      <c r="B126"/>
      <c r="C126"/>
      <c r="D126"/>
      <c r="E126"/>
      <c r="F126"/>
      <c r="G126"/>
      <c r="H126"/>
      <c r="I126"/>
      <c r="J126"/>
      <c r="K126"/>
      <c r="L126"/>
      <c r="M126" s="18"/>
      <c r="N126"/>
      <c r="O126" s="13"/>
      <c r="P126" s="13"/>
      <c r="Q126" s="13"/>
      <c r="R126"/>
    </row>
    <row r="127" spans="1:19" ht="20.100000000000001" customHeight="1" x14ac:dyDescent="0.3">
      <c r="A127"/>
      <c r="B127"/>
      <c r="C127"/>
      <c r="D127"/>
      <c r="E127"/>
      <c r="F127"/>
      <c r="G127"/>
      <c r="H127"/>
      <c r="I127"/>
      <c r="J127"/>
      <c r="K127"/>
      <c r="L127"/>
      <c r="M127" s="18"/>
      <c r="N127"/>
      <c r="O127" s="13"/>
      <c r="P127" s="13"/>
      <c r="Q127" s="13"/>
      <c r="R127"/>
    </row>
    <row r="128" spans="1:19" ht="20.100000000000001" customHeight="1" x14ac:dyDescent="0.3">
      <c r="A128"/>
      <c r="B128"/>
      <c r="C128"/>
      <c r="D128"/>
      <c r="E128"/>
      <c r="F128"/>
      <c r="G128"/>
      <c r="H128"/>
      <c r="I128"/>
      <c r="J128"/>
      <c r="K128"/>
      <c r="L128"/>
      <c r="M128" s="18"/>
      <c r="N128"/>
      <c r="O128" s="13"/>
      <c r="P128" s="13"/>
      <c r="Q128" s="13"/>
      <c r="R128"/>
    </row>
    <row r="129" spans="1:18" ht="20.100000000000001" customHeight="1" x14ac:dyDescent="0.3">
      <c r="A129"/>
      <c r="B129"/>
      <c r="C129"/>
      <c r="D129"/>
      <c r="E129"/>
      <c r="F129"/>
      <c r="G129"/>
      <c r="H129"/>
      <c r="I129"/>
      <c r="J129"/>
      <c r="K129"/>
      <c r="L129"/>
      <c r="M129" s="18"/>
      <c r="N129"/>
      <c r="O129" s="13"/>
      <c r="P129" s="13"/>
      <c r="Q129" s="13"/>
      <c r="R129"/>
    </row>
    <row r="130" spans="1:18" ht="20.100000000000001" customHeight="1" x14ac:dyDescent="0.3">
      <c r="A130"/>
      <c r="B130"/>
      <c r="C130"/>
      <c r="D130"/>
      <c r="E130"/>
      <c r="F130"/>
      <c r="G130"/>
      <c r="H130"/>
      <c r="I130"/>
      <c r="J130"/>
      <c r="K130"/>
      <c r="L130"/>
      <c r="M130" s="18"/>
      <c r="N130" s="25">
        <f>SUMPRODUCT(--(Q2:Q121&lt;=P2:P121)) / COUNTA(P2:P121)</f>
        <v>0.39166666666666666</v>
      </c>
      <c r="O130" s="13"/>
      <c r="P130" s="13"/>
      <c r="Q130" s="13"/>
      <c r="R130"/>
    </row>
    <row r="131" spans="1:18" ht="20.100000000000001" customHeight="1" x14ac:dyDescent="0.3">
      <c r="A131"/>
      <c r="B131"/>
      <c r="C131"/>
      <c r="D131"/>
      <c r="E131"/>
      <c r="F131"/>
      <c r="G131"/>
      <c r="H131"/>
      <c r="I131"/>
      <c r="J131"/>
      <c r="K131"/>
      <c r="L131"/>
      <c r="M131" s="18"/>
      <c r="N131"/>
      <c r="O131" s="13"/>
      <c r="P131" s="13"/>
      <c r="Q131" s="13"/>
      <c r="R131"/>
    </row>
    <row r="132" spans="1:18" ht="20.100000000000001" customHeight="1" x14ac:dyDescent="0.3">
      <c r="A132"/>
      <c r="B132"/>
      <c r="C132"/>
      <c r="D132"/>
      <c r="E132"/>
      <c r="F132"/>
      <c r="G132"/>
      <c r="H132"/>
      <c r="I132"/>
      <c r="J132"/>
      <c r="K132"/>
      <c r="L132"/>
      <c r="M132" s="18"/>
      <c r="N132"/>
      <c r="O132" s="13"/>
      <c r="P132" s="13"/>
      <c r="Q132" s="13"/>
      <c r="R132"/>
    </row>
    <row r="133" spans="1:18" ht="20.100000000000001" customHeight="1" x14ac:dyDescent="0.3">
      <c r="A133"/>
      <c r="B133"/>
      <c r="C133"/>
      <c r="D133"/>
      <c r="E133"/>
      <c r="F133"/>
      <c r="G133"/>
      <c r="H133"/>
      <c r="I133"/>
      <c r="J133"/>
      <c r="K133"/>
      <c r="L133"/>
      <c r="M133" s="18"/>
      <c r="N133"/>
      <c r="O133" s="13"/>
      <c r="P133" s="13"/>
      <c r="Q133" s="13"/>
      <c r="R133"/>
    </row>
    <row r="134" spans="1:18" ht="20.100000000000001" customHeight="1" x14ac:dyDescent="0.3">
      <c r="A134"/>
      <c r="B134"/>
      <c r="C134"/>
      <c r="D134"/>
      <c r="E134"/>
      <c r="F134"/>
      <c r="G134"/>
      <c r="H134"/>
      <c r="I134"/>
      <c r="J134"/>
      <c r="K134"/>
      <c r="L134"/>
      <c r="M134" s="18"/>
      <c r="N134"/>
      <c r="O134" s="13"/>
      <c r="P134" s="13"/>
      <c r="Q134" s="13"/>
      <c r="R134"/>
    </row>
    <row r="135" spans="1:18" ht="20.100000000000001" customHeight="1" x14ac:dyDescent="0.3">
      <c r="A135"/>
      <c r="B135"/>
      <c r="C135"/>
      <c r="D135"/>
      <c r="E135"/>
      <c r="F135"/>
      <c r="G135"/>
      <c r="H135"/>
      <c r="I135"/>
      <c r="J135"/>
      <c r="K135"/>
      <c r="L135"/>
      <c r="M135" s="18"/>
      <c r="N135"/>
      <c r="O135" s="13"/>
      <c r="P135" s="13"/>
      <c r="Q135" s="13"/>
      <c r="R135"/>
    </row>
    <row r="136" spans="1:18" ht="20.100000000000001" customHeight="1" x14ac:dyDescent="0.3">
      <c r="A136"/>
      <c r="B136"/>
      <c r="C136"/>
      <c r="D136"/>
      <c r="E136"/>
      <c r="F136"/>
      <c r="G136"/>
      <c r="H136"/>
      <c r="I136"/>
      <c r="J136"/>
      <c r="K136"/>
      <c r="L136"/>
      <c r="M136" s="18"/>
      <c r="N136"/>
      <c r="O136" s="13"/>
      <c r="P136" s="13"/>
      <c r="Q136" s="13"/>
      <c r="R136"/>
    </row>
    <row r="137" spans="1:18" ht="20.100000000000001" customHeight="1" x14ac:dyDescent="0.3">
      <c r="A137"/>
      <c r="B137"/>
      <c r="C137"/>
      <c r="D137"/>
      <c r="E137"/>
      <c r="F137"/>
      <c r="G137"/>
      <c r="H137"/>
      <c r="I137"/>
      <c r="J137"/>
      <c r="K137"/>
      <c r="L137"/>
      <c r="M137" s="18"/>
      <c r="N137"/>
      <c r="O137" s="13"/>
      <c r="P137" s="13"/>
      <c r="Q137" s="13"/>
      <c r="R137"/>
    </row>
    <row r="138" spans="1:18" ht="20.100000000000001" customHeight="1" x14ac:dyDescent="0.3">
      <c r="A138"/>
      <c r="B138"/>
      <c r="C138"/>
      <c r="D138"/>
      <c r="E138"/>
      <c r="F138"/>
      <c r="G138"/>
      <c r="H138"/>
      <c r="I138"/>
      <c r="J138"/>
      <c r="K138"/>
      <c r="L138"/>
      <c r="M138" s="18"/>
      <c r="N138"/>
      <c r="O138" s="13"/>
      <c r="P138" s="13"/>
      <c r="Q138" s="13"/>
      <c r="R138"/>
    </row>
    <row r="139" spans="1:18" ht="20.100000000000001" customHeight="1" x14ac:dyDescent="0.3">
      <c r="A139"/>
      <c r="B139"/>
      <c r="C139"/>
      <c r="D139"/>
      <c r="E139"/>
      <c r="F139"/>
      <c r="G139"/>
      <c r="H139"/>
      <c r="I139"/>
      <c r="J139"/>
      <c r="K139"/>
      <c r="L139"/>
      <c r="M139" s="18"/>
      <c r="N139"/>
      <c r="O139" s="13"/>
      <c r="P139" s="13"/>
      <c r="Q139" s="13"/>
      <c r="R139"/>
    </row>
    <row r="140" spans="1:18" ht="20.100000000000001" customHeight="1" x14ac:dyDescent="0.3">
      <c r="A140"/>
      <c r="B140"/>
      <c r="C140"/>
      <c r="D140"/>
      <c r="E140"/>
      <c r="F140"/>
      <c r="G140"/>
      <c r="H140"/>
      <c r="I140"/>
      <c r="J140"/>
      <c r="K140"/>
      <c r="L140"/>
      <c r="M140" s="18"/>
      <c r="N140"/>
      <c r="O140" s="13"/>
      <c r="P140" s="13"/>
      <c r="Q140" s="13"/>
      <c r="R140"/>
    </row>
    <row r="141" spans="1:18" ht="20.100000000000001" customHeight="1" x14ac:dyDescent="0.3">
      <c r="A141"/>
      <c r="B141"/>
      <c r="C141"/>
      <c r="D141"/>
      <c r="E141"/>
      <c r="F141"/>
      <c r="G141"/>
      <c r="H141"/>
      <c r="I141"/>
      <c r="J141"/>
      <c r="K141"/>
      <c r="L141"/>
      <c r="M141" s="18"/>
      <c r="N141"/>
      <c r="O141" s="13"/>
      <c r="P141" s="13"/>
      <c r="Q141" s="13"/>
      <c r="R141"/>
    </row>
    <row r="142" spans="1:18" ht="20.100000000000001" customHeight="1" x14ac:dyDescent="0.3">
      <c r="A142"/>
      <c r="B142"/>
      <c r="C142"/>
      <c r="D142"/>
      <c r="E142"/>
      <c r="F142"/>
      <c r="G142"/>
      <c r="H142"/>
      <c r="I142"/>
      <c r="J142"/>
      <c r="K142"/>
      <c r="L142"/>
      <c r="M142" s="18"/>
      <c r="N142"/>
      <c r="O142" s="13"/>
      <c r="P142" s="13"/>
      <c r="Q142" s="13"/>
      <c r="R142"/>
    </row>
    <row r="143" spans="1:18" ht="20.100000000000001" customHeight="1" x14ac:dyDescent="0.3">
      <c r="A143"/>
      <c r="B143"/>
      <c r="C143"/>
      <c r="D143"/>
      <c r="E143"/>
      <c r="F143"/>
      <c r="G143"/>
      <c r="H143"/>
      <c r="I143"/>
      <c r="J143"/>
      <c r="K143"/>
      <c r="L143"/>
      <c r="M143" s="18"/>
      <c r="N143"/>
      <c r="O143" s="13"/>
      <c r="P143" s="13"/>
      <c r="Q143" s="13"/>
      <c r="R143"/>
    </row>
    <row r="144" spans="1:18" ht="20.100000000000001" customHeight="1" x14ac:dyDescent="0.3">
      <c r="A144"/>
      <c r="B144"/>
      <c r="C144"/>
      <c r="D144"/>
      <c r="E144"/>
      <c r="F144"/>
      <c r="G144"/>
      <c r="H144"/>
      <c r="I144"/>
      <c r="J144"/>
      <c r="K144"/>
      <c r="L144"/>
      <c r="M144" s="18"/>
      <c r="N144"/>
      <c r="O144" s="13"/>
      <c r="P144" s="13"/>
      <c r="Q144" s="13"/>
      <c r="R144"/>
    </row>
    <row r="145" spans="1:18" ht="20.100000000000001" customHeight="1" x14ac:dyDescent="0.3">
      <c r="A145"/>
      <c r="B145"/>
      <c r="C145"/>
      <c r="D145"/>
      <c r="E145"/>
      <c r="F145"/>
      <c r="G145"/>
      <c r="H145"/>
      <c r="I145"/>
      <c r="J145"/>
      <c r="K145"/>
      <c r="L145"/>
      <c r="M145" s="18"/>
      <c r="N145"/>
      <c r="O145" s="13"/>
      <c r="P145" s="13"/>
      <c r="Q145" s="13"/>
      <c r="R145"/>
    </row>
    <row r="146" spans="1:18" ht="20.100000000000001" customHeight="1" x14ac:dyDescent="0.3">
      <c r="A146"/>
      <c r="B146"/>
      <c r="C146"/>
      <c r="D146"/>
      <c r="E146"/>
      <c r="F146"/>
      <c r="G146"/>
      <c r="H146"/>
      <c r="I146"/>
      <c r="J146"/>
      <c r="K146"/>
      <c r="L146"/>
      <c r="M146" s="18"/>
      <c r="N146"/>
      <c r="O146" s="13"/>
      <c r="P146" s="13"/>
      <c r="Q146" s="13"/>
      <c r="R146"/>
    </row>
    <row r="147" spans="1:18" ht="20.100000000000001" customHeight="1" x14ac:dyDescent="0.3">
      <c r="A147"/>
      <c r="B147"/>
      <c r="C147"/>
      <c r="D147"/>
      <c r="E147"/>
      <c r="F147"/>
      <c r="G147"/>
      <c r="H147"/>
      <c r="I147"/>
      <c r="J147"/>
      <c r="K147"/>
      <c r="L147"/>
      <c r="M147" s="18"/>
      <c r="N147"/>
      <c r="O147" s="13"/>
      <c r="P147" s="13"/>
      <c r="Q147" s="13"/>
      <c r="R147"/>
    </row>
    <row r="148" spans="1:18" ht="20.100000000000001" customHeight="1" x14ac:dyDescent="0.3">
      <c r="A148"/>
      <c r="B148"/>
      <c r="C148"/>
      <c r="D148"/>
      <c r="E148"/>
      <c r="F148"/>
      <c r="G148"/>
      <c r="H148"/>
      <c r="I148"/>
      <c r="J148"/>
      <c r="K148"/>
      <c r="L148"/>
      <c r="M148" s="18"/>
      <c r="N148"/>
      <c r="O148" s="13"/>
      <c r="P148" s="13"/>
      <c r="Q148" s="13"/>
      <c r="R148"/>
    </row>
    <row r="149" spans="1:18" ht="20.100000000000001" customHeight="1" x14ac:dyDescent="0.3">
      <c r="A149"/>
      <c r="B149"/>
      <c r="C149"/>
      <c r="D149"/>
      <c r="E149"/>
      <c r="F149"/>
      <c r="G149"/>
      <c r="H149"/>
      <c r="I149"/>
      <c r="J149"/>
      <c r="K149"/>
      <c r="L149"/>
      <c r="M149" s="18"/>
      <c r="N149"/>
      <c r="O149" s="13"/>
      <c r="P149" s="13"/>
      <c r="Q149" s="13"/>
      <c r="R149"/>
    </row>
    <row r="150" spans="1:18" ht="20.100000000000001" customHeight="1" x14ac:dyDescent="0.3">
      <c r="A150"/>
      <c r="B150"/>
      <c r="C150"/>
      <c r="D150"/>
      <c r="E150"/>
      <c r="F150"/>
      <c r="G150"/>
      <c r="H150"/>
      <c r="I150"/>
      <c r="J150"/>
      <c r="K150"/>
      <c r="L150"/>
      <c r="M150" s="18"/>
      <c r="N150"/>
      <c r="O150" s="13"/>
      <c r="P150" s="13"/>
      <c r="Q150" s="13"/>
      <c r="R150"/>
    </row>
    <row r="151" spans="1:18" ht="20.100000000000001" customHeight="1" x14ac:dyDescent="0.3">
      <c r="A151"/>
      <c r="B151"/>
      <c r="C151"/>
      <c r="D151"/>
      <c r="E151"/>
      <c r="F151"/>
      <c r="G151"/>
      <c r="H151"/>
      <c r="I151"/>
      <c r="J151"/>
      <c r="K151"/>
      <c r="L151"/>
      <c r="M151" s="18"/>
      <c r="N151"/>
      <c r="O151" s="13"/>
      <c r="P151" s="13"/>
      <c r="Q151" s="13"/>
      <c r="R151"/>
    </row>
    <row r="152" spans="1:18" ht="20.100000000000001" customHeight="1" x14ac:dyDescent="0.3">
      <c r="A152"/>
      <c r="B152"/>
      <c r="C152"/>
      <c r="D152"/>
      <c r="E152"/>
      <c r="F152"/>
      <c r="G152"/>
      <c r="H152"/>
      <c r="I152"/>
      <c r="J152"/>
      <c r="K152"/>
      <c r="L152"/>
      <c r="M152" s="18"/>
      <c r="N152"/>
      <c r="O152" s="13"/>
      <c r="P152" s="13"/>
      <c r="Q152" s="13"/>
      <c r="R152"/>
    </row>
    <row r="153" spans="1:18" ht="20.100000000000001" customHeight="1" x14ac:dyDescent="0.3">
      <c r="A153"/>
      <c r="B153"/>
      <c r="C153"/>
      <c r="D153"/>
      <c r="E153"/>
      <c r="F153"/>
      <c r="G153"/>
      <c r="H153"/>
      <c r="I153"/>
      <c r="J153"/>
      <c r="K153"/>
      <c r="L153"/>
      <c r="M153" s="18"/>
      <c r="N153"/>
      <c r="O153" s="13"/>
      <c r="P153" s="13"/>
      <c r="Q153" s="13"/>
      <c r="R153"/>
    </row>
    <row r="154" spans="1:18" ht="20.100000000000001" customHeight="1" x14ac:dyDescent="0.3">
      <c r="A154"/>
      <c r="B154"/>
      <c r="C154"/>
      <c r="D154"/>
      <c r="E154"/>
      <c r="F154"/>
      <c r="G154"/>
      <c r="H154"/>
      <c r="I154"/>
      <c r="J154"/>
      <c r="K154"/>
      <c r="L154"/>
      <c r="M154" s="18"/>
      <c r="N154"/>
      <c r="O154" s="13"/>
      <c r="P154" s="13"/>
      <c r="Q154" s="13"/>
      <c r="R154"/>
    </row>
    <row r="155" spans="1:18" ht="20.100000000000001" customHeight="1" x14ac:dyDescent="0.3">
      <c r="A155"/>
      <c r="B155"/>
      <c r="C155"/>
      <c r="D155"/>
      <c r="E155"/>
      <c r="F155"/>
      <c r="G155"/>
      <c r="H155"/>
      <c r="I155"/>
      <c r="J155"/>
      <c r="K155"/>
      <c r="L155"/>
      <c r="M155" s="18"/>
      <c r="N155"/>
      <c r="O155" s="13"/>
      <c r="P155" s="13"/>
      <c r="Q155" s="13"/>
      <c r="R155"/>
    </row>
    <row r="156" spans="1:18" ht="20.100000000000001" customHeight="1" x14ac:dyDescent="0.3">
      <c r="A156"/>
      <c r="B156"/>
      <c r="C156"/>
      <c r="D156"/>
      <c r="E156"/>
      <c r="F156"/>
      <c r="G156"/>
      <c r="H156"/>
      <c r="I156"/>
      <c r="J156"/>
      <c r="K156"/>
      <c r="L156"/>
      <c r="M156" s="18"/>
      <c r="N156"/>
      <c r="O156" s="13"/>
      <c r="P156" s="13"/>
      <c r="Q156" s="13"/>
      <c r="R156"/>
    </row>
    <row r="157" spans="1:18" ht="20.100000000000001" customHeight="1" x14ac:dyDescent="0.3">
      <c r="A157"/>
      <c r="B157"/>
      <c r="C157"/>
      <c r="D157"/>
      <c r="E157"/>
      <c r="F157"/>
      <c r="G157"/>
      <c r="H157"/>
      <c r="I157"/>
      <c r="J157"/>
      <c r="K157"/>
      <c r="L157"/>
      <c r="M157" s="18"/>
      <c r="N157"/>
      <c r="O157" s="13"/>
      <c r="P157" s="13"/>
      <c r="Q157" s="13"/>
      <c r="R157"/>
    </row>
    <row r="158" spans="1:18" ht="20.100000000000001" customHeight="1" x14ac:dyDescent="0.3">
      <c r="A158"/>
      <c r="B158"/>
      <c r="C158"/>
      <c r="D158"/>
      <c r="E158"/>
      <c r="F158"/>
      <c r="G158"/>
      <c r="H158"/>
      <c r="I158"/>
      <c r="J158"/>
      <c r="K158"/>
      <c r="L158"/>
      <c r="M158" s="18"/>
      <c r="N158"/>
      <c r="O158" s="13"/>
      <c r="P158" s="13"/>
      <c r="Q158" s="13"/>
      <c r="R158"/>
    </row>
    <row r="159" spans="1:18" ht="20.100000000000001" customHeight="1" x14ac:dyDescent="0.3">
      <c r="A159"/>
      <c r="B159"/>
      <c r="C159"/>
      <c r="D159"/>
      <c r="E159"/>
      <c r="F159"/>
      <c r="G159"/>
      <c r="H159"/>
      <c r="I159"/>
      <c r="J159"/>
      <c r="K159"/>
      <c r="L159"/>
      <c r="M159" s="18"/>
      <c r="N159"/>
      <c r="O159" s="13"/>
      <c r="P159" s="13"/>
      <c r="Q159" s="13"/>
      <c r="R159"/>
    </row>
    <row r="160" spans="1:18" ht="20.100000000000001" customHeight="1" x14ac:dyDescent="0.3">
      <c r="A160"/>
      <c r="B160"/>
      <c r="C160"/>
      <c r="D160"/>
      <c r="E160"/>
      <c r="F160"/>
      <c r="G160"/>
      <c r="H160"/>
      <c r="I160"/>
      <c r="J160"/>
      <c r="K160"/>
      <c r="L160"/>
      <c r="M160" s="18"/>
      <c r="N160"/>
      <c r="O160" s="13"/>
      <c r="P160" s="13"/>
      <c r="Q160" s="13"/>
      <c r="R160"/>
    </row>
    <row r="161" spans="1:18" ht="20.100000000000001" customHeight="1" x14ac:dyDescent="0.3">
      <c r="A161"/>
      <c r="B161"/>
      <c r="C161"/>
      <c r="D161"/>
      <c r="E161"/>
      <c r="F161"/>
      <c r="G161"/>
      <c r="H161"/>
      <c r="I161"/>
      <c r="J161"/>
      <c r="K161"/>
      <c r="L161"/>
      <c r="M161" s="18"/>
      <c r="N161"/>
      <c r="O161" s="13"/>
      <c r="P161" s="13"/>
      <c r="Q161" s="13"/>
      <c r="R161"/>
    </row>
    <row r="162" spans="1:18" ht="20.100000000000001" customHeight="1" x14ac:dyDescent="0.3">
      <c r="A162"/>
      <c r="B162"/>
      <c r="C162"/>
      <c r="D162"/>
      <c r="E162"/>
      <c r="F162"/>
      <c r="G162"/>
      <c r="H162"/>
      <c r="I162"/>
      <c r="J162"/>
      <c r="K162"/>
      <c r="L162"/>
      <c r="M162" s="18"/>
      <c r="N162"/>
      <c r="O162" s="13"/>
      <c r="P162" s="13"/>
      <c r="Q162" s="13"/>
      <c r="R162"/>
    </row>
    <row r="163" spans="1:18" ht="20.100000000000001" customHeight="1" x14ac:dyDescent="0.3">
      <c r="A163"/>
      <c r="B163"/>
      <c r="C163"/>
      <c r="D163"/>
      <c r="E163"/>
      <c r="F163"/>
      <c r="G163"/>
      <c r="H163"/>
      <c r="I163"/>
      <c r="J163"/>
      <c r="K163"/>
      <c r="L163"/>
      <c r="M163" s="18"/>
      <c r="N163"/>
      <c r="O163" s="13"/>
      <c r="P163" s="13"/>
      <c r="Q163" s="13"/>
      <c r="R163"/>
    </row>
    <row r="164" spans="1:18" ht="20.100000000000001" customHeight="1" x14ac:dyDescent="0.3">
      <c r="A164"/>
      <c r="B164"/>
      <c r="C164"/>
      <c r="D164"/>
      <c r="E164"/>
      <c r="F164"/>
      <c r="G164"/>
      <c r="H164"/>
      <c r="I164"/>
      <c r="J164"/>
      <c r="K164"/>
      <c r="L164"/>
      <c r="M164" s="18"/>
      <c r="N164"/>
      <c r="O164" s="13"/>
      <c r="P164" s="13"/>
      <c r="Q164" s="13"/>
      <c r="R164"/>
    </row>
    <row r="165" spans="1:18" ht="20.100000000000001" customHeight="1" x14ac:dyDescent="0.3">
      <c r="A165"/>
      <c r="B165"/>
      <c r="C165"/>
      <c r="D165"/>
      <c r="E165"/>
      <c r="F165"/>
      <c r="G165"/>
      <c r="H165"/>
      <c r="I165"/>
      <c r="J165"/>
      <c r="K165"/>
      <c r="L165"/>
      <c r="M165" s="18"/>
      <c r="N165"/>
      <c r="O165" s="13"/>
      <c r="P165" s="13"/>
      <c r="Q165" s="13"/>
      <c r="R165"/>
    </row>
    <row r="166" spans="1:18" ht="20.100000000000001" customHeight="1" x14ac:dyDescent="0.3">
      <c r="A166"/>
      <c r="B166"/>
      <c r="C166"/>
      <c r="D166"/>
      <c r="E166"/>
      <c r="F166"/>
      <c r="G166"/>
      <c r="H166"/>
      <c r="I166"/>
      <c r="J166"/>
      <c r="K166"/>
      <c r="L166"/>
      <c r="M166" s="18"/>
      <c r="N166"/>
      <c r="O166" s="13"/>
      <c r="P166" s="13"/>
      <c r="Q166" s="13"/>
      <c r="R166"/>
    </row>
    <row r="167" spans="1:18" ht="20.100000000000001" customHeight="1" x14ac:dyDescent="0.3">
      <c r="A167"/>
      <c r="B167"/>
      <c r="C167"/>
      <c r="D167"/>
      <c r="E167"/>
      <c r="F167"/>
      <c r="G167"/>
      <c r="H167"/>
      <c r="I167"/>
      <c r="J167"/>
      <c r="K167"/>
      <c r="L167"/>
      <c r="M167" s="18"/>
      <c r="N167"/>
      <c r="O167" s="13"/>
      <c r="P167" s="13"/>
      <c r="Q167" s="13"/>
      <c r="R167"/>
    </row>
    <row r="168" spans="1:18" ht="20.100000000000001" customHeight="1" x14ac:dyDescent="0.3">
      <c r="A168"/>
      <c r="B168"/>
      <c r="C168"/>
      <c r="D168"/>
      <c r="E168"/>
      <c r="F168"/>
      <c r="G168"/>
      <c r="H168"/>
      <c r="I168"/>
      <c r="J168"/>
      <c r="K168"/>
      <c r="L168"/>
      <c r="M168" s="18"/>
      <c r="N168"/>
      <c r="O168" s="13"/>
      <c r="P168" s="13"/>
      <c r="Q168" s="13"/>
      <c r="R168"/>
    </row>
    <row r="169" spans="1:18" ht="20.100000000000001" customHeight="1" x14ac:dyDescent="0.3">
      <c r="A169"/>
      <c r="B169"/>
      <c r="C169"/>
      <c r="D169"/>
      <c r="E169"/>
      <c r="F169"/>
      <c r="G169"/>
      <c r="H169"/>
      <c r="I169"/>
      <c r="J169"/>
      <c r="K169"/>
      <c r="L169"/>
      <c r="M169" s="18"/>
      <c r="N169"/>
      <c r="O169" s="13"/>
      <c r="P169" s="13"/>
      <c r="Q169" s="13"/>
      <c r="R169"/>
    </row>
    <row r="170" spans="1:18" ht="20.100000000000001" customHeight="1" x14ac:dyDescent="0.3">
      <c r="A170"/>
      <c r="B170"/>
      <c r="C170"/>
      <c r="D170"/>
      <c r="E170"/>
      <c r="F170"/>
      <c r="G170"/>
      <c r="H170"/>
      <c r="I170"/>
      <c r="J170"/>
      <c r="K170"/>
      <c r="L170"/>
      <c r="M170" s="18"/>
      <c r="N170"/>
      <c r="O170" s="13"/>
      <c r="P170" s="13"/>
      <c r="Q170" s="13"/>
      <c r="R170"/>
    </row>
    <row r="171" spans="1:18" ht="20.100000000000001" customHeight="1" x14ac:dyDescent="0.3">
      <c r="A171"/>
      <c r="B171"/>
      <c r="C171"/>
      <c r="D171"/>
      <c r="E171"/>
      <c r="F171"/>
      <c r="G171"/>
      <c r="H171"/>
      <c r="I171"/>
      <c r="J171"/>
      <c r="K171"/>
      <c r="L171"/>
      <c r="M171" s="18"/>
      <c r="N171"/>
      <c r="O171" s="13"/>
      <c r="P171" s="13"/>
      <c r="Q171" s="13"/>
      <c r="R171"/>
    </row>
    <row r="172" spans="1:18" ht="20.100000000000001" customHeight="1" x14ac:dyDescent="0.3">
      <c r="A172"/>
      <c r="B172"/>
      <c r="C172"/>
      <c r="D172"/>
      <c r="E172"/>
      <c r="F172"/>
      <c r="G172"/>
      <c r="H172"/>
      <c r="I172"/>
      <c r="J172"/>
      <c r="K172"/>
      <c r="L172"/>
      <c r="M172" s="18"/>
      <c r="N172"/>
      <c r="O172" s="13"/>
      <c r="P172" s="13"/>
      <c r="Q172" s="13"/>
      <c r="R172"/>
    </row>
    <row r="173" spans="1:18" ht="20.100000000000001" customHeight="1" x14ac:dyDescent="0.3">
      <c r="A173"/>
      <c r="B173"/>
      <c r="C173"/>
      <c r="D173"/>
      <c r="E173"/>
      <c r="F173"/>
      <c r="G173"/>
      <c r="H173"/>
      <c r="I173"/>
      <c r="J173"/>
      <c r="K173"/>
      <c r="L173"/>
      <c r="M173" s="18"/>
      <c r="N173"/>
      <c r="O173" s="13"/>
      <c r="P173" s="13"/>
      <c r="Q173" s="13"/>
      <c r="R173"/>
    </row>
    <row r="174" spans="1:18" ht="20.100000000000001" customHeight="1" x14ac:dyDescent="0.3">
      <c r="A174"/>
      <c r="B174"/>
      <c r="C174"/>
      <c r="D174"/>
      <c r="E174"/>
      <c r="F174"/>
      <c r="G174"/>
      <c r="H174"/>
      <c r="I174"/>
      <c r="J174"/>
      <c r="K174"/>
      <c r="L174"/>
      <c r="M174" s="18"/>
      <c r="N174"/>
      <c r="O174" s="13"/>
      <c r="P174" s="13"/>
      <c r="Q174" s="13"/>
      <c r="R174"/>
    </row>
    <row r="175" spans="1:18" ht="20.100000000000001" customHeight="1" x14ac:dyDescent="0.3">
      <c r="A175"/>
      <c r="B175"/>
      <c r="C175"/>
      <c r="D175"/>
      <c r="E175"/>
      <c r="F175"/>
      <c r="G175"/>
      <c r="H175"/>
      <c r="I175"/>
      <c r="J175"/>
      <c r="K175"/>
      <c r="L175"/>
      <c r="M175" s="18"/>
      <c r="N175"/>
      <c r="O175" s="13"/>
      <c r="P175" s="13"/>
      <c r="Q175" s="13"/>
      <c r="R175"/>
    </row>
    <row r="176" spans="1:18" ht="20.100000000000001" customHeight="1" x14ac:dyDescent="0.3">
      <c r="A176"/>
      <c r="B176"/>
      <c r="C176"/>
      <c r="D176"/>
      <c r="E176"/>
      <c r="F176"/>
      <c r="G176"/>
      <c r="H176"/>
      <c r="I176"/>
      <c r="J176"/>
      <c r="K176"/>
      <c r="L176"/>
      <c r="M176" s="18"/>
      <c r="N176"/>
      <c r="O176" s="13"/>
      <c r="P176" s="13"/>
      <c r="Q176" s="13"/>
      <c r="R176"/>
    </row>
    <row r="177" spans="1:18" ht="20.100000000000001" customHeight="1" x14ac:dyDescent="0.3">
      <c r="A177"/>
      <c r="B177"/>
      <c r="C177"/>
      <c r="D177"/>
      <c r="E177"/>
      <c r="F177"/>
      <c r="G177"/>
      <c r="H177"/>
      <c r="I177"/>
      <c r="J177"/>
      <c r="K177"/>
      <c r="L177"/>
      <c r="M177" s="18"/>
      <c r="N177"/>
      <c r="O177" s="13"/>
      <c r="P177" s="13"/>
      <c r="Q177" s="13"/>
      <c r="R177"/>
    </row>
    <row r="178" spans="1:18" ht="20.100000000000001" customHeight="1" x14ac:dyDescent="0.3">
      <c r="A178"/>
      <c r="B178"/>
      <c r="C178"/>
      <c r="D178"/>
      <c r="E178"/>
      <c r="F178"/>
      <c r="G178"/>
      <c r="H178"/>
      <c r="I178"/>
      <c r="J178"/>
      <c r="K178"/>
      <c r="L178"/>
      <c r="M178" s="18"/>
      <c r="N178"/>
      <c r="O178" s="13"/>
      <c r="P178" s="13"/>
      <c r="Q178" s="13"/>
      <c r="R178"/>
    </row>
    <row r="179" spans="1:18" ht="20.100000000000001" customHeight="1" x14ac:dyDescent="0.3">
      <c r="A179"/>
      <c r="B179"/>
      <c r="C179"/>
      <c r="D179"/>
      <c r="E179"/>
      <c r="F179"/>
      <c r="G179"/>
      <c r="H179"/>
      <c r="I179"/>
      <c r="J179"/>
      <c r="K179"/>
      <c r="L179"/>
      <c r="M179" s="18"/>
      <c r="N179"/>
      <c r="O179" s="13"/>
      <c r="P179" s="13"/>
      <c r="Q179" s="13"/>
      <c r="R179"/>
    </row>
    <row r="180" spans="1:18" ht="20.100000000000001" customHeight="1" x14ac:dyDescent="0.3">
      <c r="A180"/>
      <c r="B180"/>
      <c r="C180"/>
      <c r="D180"/>
      <c r="E180"/>
      <c r="F180"/>
      <c r="G180"/>
      <c r="H180"/>
      <c r="I180"/>
      <c r="J180"/>
      <c r="K180"/>
      <c r="L180"/>
      <c r="M180" s="18"/>
      <c r="N180"/>
      <c r="O180" s="13"/>
      <c r="P180" s="13"/>
      <c r="Q180" s="13"/>
      <c r="R180"/>
    </row>
    <row r="181" spans="1:18" ht="20.100000000000001" customHeight="1" x14ac:dyDescent="0.3">
      <c r="A181"/>
      <c r="B181"/>
      <c r="C181"/>
      <c r="D181"/>
      <c r="E181"/>
      <c r="F181"/>
      <c r="G181"/>
      <c r="H181"/>
      <c r="I181"/>
      <c r="J181"/>
      <c r="K181"/>
      <c r="L181"/>
      <c r="M181" s="18"/>
      <c r="N181"/>
      <c r="O181" s="13"/>
      <c r="P181" s="13"/>
      <c r="Q181" s="13"/>
      <c r="R181"/>
    </row>
    <row r="182" spans="1:18" ht="20.100000000000001" customHeight="1" x14ac:dyDescent="0.3">
      <c r="A182"/>
      <c r="B182"/>
      <c r="C182"/>
      <c r="D182"/>
      <c r="E182"/>
      <c r="F182"/>
      <c r="G182"/>
      <c r="H182"/>
      <c r="I182"/>
      <c r="J182"/>
      <c r="K182"/>
      <c r="L182"/>
      <c r="M182" s="18"/>
      <c r="N182"/>
      <c r="O182" s="13"/>
      <c r="P182" s="13"/>
      <c r="Q182" s="13"/>
      <c r="R182"/>
    </row>
    <row r="183" spans="1:18" ht="20.100000000000001" customHeight="1" x14ac:dyDescent="0.3">
      <c r="A183"/>
      <c r="B183"/>
      <c r="C183"/>
      <c r="D183"/>
      <c r="E183"/>
      <c r="F183"/>
      <c r="G183"/>
      <c r="H183"/>
      <c r="I183"/>
      <c r="J183"/>
      <c r="K183"/>
      <c r="L183"/>
      <c r="M183" s="18"/>
      <c r="N183"/>
      <c r="O183" s="13"/>
      <c r="P183" s="13"/>
      <c r="Q183" s="13"/>
      <c r="R183"/>
    </row>
    <row r="184" spans="1:18" ht="20.100000000000001" customHeight="1" x14ac:dyDescent="0.3">
      <c r="A184"/>
      <c r="B184"/>
      <c r="C184"/>
      <c r="D184"/>
      <c r="E184"/>
      <c r="F184"/>
      <c r="G184"/>
      <c r="H184"/>
      <c r="I184"/>
      <c r="J184"/>
      <c r="K184"/>
      <c r="L184"/>
      <c r="M184" s="18"/>
      <c r="N184"/>
      <c r="O184" s="13"/>
      <c r="P184" s="13"/>
      <c r="Q184" s="13"/>
      <c r="R184"/>
    </row>
    <row r="185" spans="1:18" ht="20.100000000000001" customHeight="1" x14ac:dyDescent="0.3">
      <c r="A185"/>
      <c r="B185"/>
      <c r="C185"/>
      <c r="D185"/>
      <c r="E185"/>
      <c r="F185"/>
      <c r="G185"/>
      <c r="H185"/>
      <c r="I185"/>
      <c r="J185"/>
      <c r="K185"/>
      <c r="L185"/>
      <c r="M185" s="18"/>
      <c r="N185"/>
      <c r="O185" s="13"/>
      <c r="P185" s="13"/>
      <c r="Q185" s="13"/>
      <c r="R185"/>
    </row>
    <row r="186" spans="1:18" ht="20.100000000000001" customHeight="1" x14ac:dyDescent="0.3">
      <c r="A186"/>
      <c r="B186"/>
      <c r="C186"/>
      <c r="D186"/>
      <c r="E186"/>
      <c r="F186"/>
      <c r="G186"/>
      <c r="H186"/>
      <c r="I186"/>
      <c r="J186"/>
      <c r="K186"/>
      <c r="L186"/>
      <c r="M186" s="18"/>
      <c r="N186"/>
      <c r="O186" s="13"/>
      <c r="P186" s="13"/>
      <c r="Q186" s="13"/>
      <c r="R186"/>
    </row>
    <row r="187" spans="1:18" ht="20.100000000000001" customHeight="1" x14ac:dyDescent="0.3">
      <c r="A187"/>
      <c r="B187"/>
      <c r="C187"/>
      <c r="D187"/>
      <c r="E187"/>
      <c r="F187"/>
      <c r="G187"/>
      <c r="H187"/>
      <c r="I187"/>
      <c r="J187"/>
      <c r="K187"/>
      <c r="L187"/>
      <c r="M187" s="18"/>
      <c r="N187"/>
      <c r="O187" s="13"/>
      <c r="P187" s="13"/>
      <c r="Q187" s="13"/>
      <c r="R187"/>
    </row>
    <row r="188" spans="1:18" ht="20.100000000000001" customHeight="1" x14ac:dyDescent="0.3">
      <c r="A188"/>
      <c r="B188"/>
      <c r="C188"/>
      <c r="D188"/>
      <c r="E188"/>
      <c r="F188"/>
      <c r="G188"/>
      <c r="H188"/>
      <c r="I188"/>
      <c r="J188"/>
      <c r="K188"/>
      <c r="L188"/>
      <c r="M188" s="18"/>
      <c r="N188"/>
      <c r="O188" s="13"/>
      <c r="P188" s="13"/>
      <c r="Q188" s="13"/>
      <c r="R188"/>
    </row>
    <row r="189" spans="1:18" ht="20.100000000000001" customHeight="1" x14ac:dyDescent="0.3">
      <c r="A189"/>
      <c r="B189"/>
      <c r="C189"/>
      <c r="D189"/>
      <c r="E189"/>
      <c r="F189"/>
      <c r="G189"/>
      <c r="H189"/>
      <c r="I189"/>
      <c r="J189"/>
      <c r="K189"/>
      <c r="L189"/>
      <c r="M189" s="18"/>
      <c r="N189"/>
      <c r="O189" s="13"/>
      <c r="P189" s="13"/>
      <c r="Q189" s="13"/>
      <c r="R189"/>
    </row>
    <row r="190" spans="1:18" ht="20.100000000000001" customHeight="1" x14ac:dyDescent="0.3">
      <c r="A190"/>
      <c r="B190"/>
      <c r="C190"/>
      <c r="D190"/>
      <c r="E190"/>
      <c r="F190"/>
      <c r="G190"/>
      <c r="H190"/>
      <c r="I190"/>
      <c r="J190"/>
      <c r="K190"/>
      <c r="L190"/>
      <c r="M190" s="18"/>
      <c r="N190"/>
      <c r="O190" s="13"/>
      <c r="P190" s="13"/>
      <c r="Q190" s="13"/>
      <c r="R190"/>
    </row>
    <row r="191" spans="1:18" ht="20.100000000000001" customHeight="1" x14ac:dyDescent="0.3">
      <c r="A191"/>
      <c r="B191"/>
      <c r="C191"/>
      <c r="D191"/>
      <c r="E191"/>
      <c r="F191"/>
      <c r="G191"/>
      <c r="H191"/>
      <c r="I191"/>
      <c r="J191"/>
      <c r="K191"/>
      <c r="L191"/>
      <c r="M191" s="18"/>
      <c r="N191"/>
      <c r="O191" s="13"/>
      <c r="P191" s="13"/>
      <c r="Q191" s="13"/>
      <c r="R191"/>
    </row>
    <row r="192" spans="1:18" ht="20.100000000000001" customHeight="1" x14ac:dyDescent="0.3">
      <c r="A192"/>
      <c r="B192"/>
      <c r="C192"/>
      <c r="D192"/>
      <c r="E192"/>
      <c r="F192"/>
      <c r="G192"/>
      <c r="H192"/>
      <c r="I192"/>
      <c r="J192"/>
      <c r="K192"/>
      <c r="L192"/>
      <c r="M192" s="18"/>
      <c r="N192"/>
      <c r="O192" s="13"/>
      <c r="P192" s="13"/>
      <c r="Q192" s="13"/>
      <c r="R192"/>
    </row>
    <row r="193" spans="1:18" ht="20.100000000000001" customHeight="1" x14ac:dyDescent="0.3">
      <c r="A193"/>
      <c r="B193"/>
      <c r="C193"/>
      <c r="D193"/>
      <c r="E193"/>
      <c r="F193"/>
      <c r="G193"/>
      <c r="H193"/>
      <c r="I193"/>
      <c r="J193"/>
      <c r="K193"/>
      <c r="L193"/>
      <c r="M193" s="18"/>
      <c r="N193"/>
      <c r="O193" s="13"/>
      <c r="P193" s="13"/>
      <c r="Q193" s="13"/>
      <c r="R193"/>
    </row>
    <row r="194" spans="1:18" ht="20.100000000000001" customHeight="1" x14ac:dyDescent="0.3">
      <c r="A194"/>
      <c r="B194"/>
      <c r="C194"/>
      <c r="D194"/>
      <c r="E194"/>
      <c r="F194"/>
      <c r="G194"/>
      <c r="H194"/>
      <c r="I194"/>
      <c r="J194"/>
      <c r="K194"/>
      <c r="L194"/>
      <c r="M194" s="18"/>
      <c r="N194"/>
      <c r="O194" s="13"/>
      <c r="P194" s="13"/>
      <c r="Q194" s="13"/>
      <c r="R194"/>
    </row>
    <row r="195" spans="1:18" ht="20.100000000000001" customHeight="1" x14ac:dyDescent="0.3">
      <c r="A195"/>
      <c r="B195"/>
      <c r="C195"/>
      <c r="D195"/>
      <c r="E195"/>
      <c r="F195"/>
      <c r="G195"/>
      <c r="H195"/>
      <c r="I195"/>
      <c r="J195"/>
      <c r="K195"/>
      <c r="L195"/>
      <c r="M195" s="18"/>
      <c r="N195"/>
      <c r="O195" s="13"/>
      <c r="P195" s="13"/>
      <c r="Q195" s="13"/>
      <c r="R195"/>
    </row>
    <row r="196" spans="1:18" ht="20.100000000000001" customHeight="1" x14ac:dyDescent="0.3">
      <c r="A196"/>
      <c r="B196"/>
      <c r="C196"/>
      <c r="D196"/>
      <c r="E196"/>
      <c r="F196"/>
      <c r="G196"/>
      <c r="H196"/>
      <c r="I196"/>
      <c r="J196"/>
      <c r="K196"/>
      <c r="L196"/>
      <c r="M196" s="18"/>
      <c r="N196"/>
      <c r="O196" s="13"/>
      <c r="P196" s="13"/>
      <c r="Q196" s="13"/>
      <c r="R196"/>
    </row>
    <row r="197" spans="1:18" ht="20.100000000000001" customHeight="1" x14ac:dyDescent="0.3">
      <c r="A197"/>
      <c r="B197"/>
      <c r="C197"/>
      <c r="D197"/>
      <c r="E197"/>
      <c r="F197"/>
      <c r="G197"/>
      <c r="H197"/>
      <c r="I197"/>
      <c r="J197"/>
      <c r="K197"/>
      <c r="L197"/>
      <c r="M197" s="18"/>
      <c r="N197"/>
      <c r="O197" s="13"/>
      <c r="P197" s="13"/>
      <c r="Q197" s="13"/>
      <c r="R197"/>
    </row>
    <row r="198" spans="1:18" ht="20.100000000000001" customHeight="1" x14ac:dyDescent="0.3">
      <c r="A198"/>
      <c r="B198"/>
      <c r="C198"/>
      <c r="D198"/>
      <c r="E198"/>
      <c r="F198"/>
      <c r="G198"/>
      <c r="H198"/>
      <c r="I198"/>
      <c r="J198"/>
      <c r="K198"/>
      <c r="L198"/>
      <c r="M198" s="18"/>
      <c r="N198"/>
      <c r="O198" s="13"/>
      <c r="P198" s="13"/>
      <c r="Q198" s="13"/>
      <c r="R198"/>
    </row>
    <row r="199" spans="1:18" ht="20.100000000000001" customHeight="1" x14ac:dyDescent="0.3">
      <c r="A199"/>
      <c r="B199"/>
      <c r="C199"/>
      <c r="D199"/>
      <c r="E199"/>
      <c r="F199"/>
      <c r="G199"/>
      <c r="H199"/>
      <c r="I199"/>
      <c r="J199"/>
      <c r="K199"/>
      <c r="L199"/>
      <c r="M199" s="18"/>
      <c r="N199"/>
      <c r="O199" s="13"/>
      <c r="P199" s="13"/>
      <c r="Q199" s="13"/>
      <c r="R199"/>
    </row>
    <row r="200" spans="1:18" ht="20.100000000000001" customHeight="1" x14ac:dyDescent="0.3">
      <c r="A200"/>
      <c r="B200"/>
      <c r="C200"/>
      <c r="D200"/>
      <c r="E200"/>
      <c r="F200"/>
      <c r="G200"/>
      <c r="H200"/>
      <c r="I200"/>
      <c r="J200"/>
      <c r="K200"/>
      <c r="L200"/>
      <c r="M200" s="18"/>
      <c r="N200"/>
      <c r="O200" s="13"/>
      <c r="P200" s="13"/>
      <c r="Q200" s="13"/>
      <c r="R200"/>
    </row>
    <row r="201" spans="1:18" ht="20.100000000000001" customHeight="1" x14ac:dyDescent="0.3">
      <c r="A201"/>
      <c r="B201"/>
      <c r="C201"/>
      <c r="D201"/>
      <c r="E201"/>
      <c r="F201"/>
      <c r="G201"/>
      <c r="H201"/>
      <c r="I201"/>
      <c r="J201"/>
      <c r="K201"/>
      <c r="L201"/>
      <c r="M201" s="18"/>
      <c r="N201"/>
      <c r="O201" s="13"/>
      <c r="P201" s="13"/>
      <c r="Q201" s="13"/>
      <c r="R201"/>
    </row>
    <row r="202" spans="1:18" ht="20.100000000000001" customHeight="1" x14ac:dyDescent="0.3">
      <c r="A202"/>
      <c r="B202"/>
      <c r="C202"/>
      <c r="D202"/>
      <c r="E202"/>
      <c r="F202"/>
      <c r="G202"/>
      <c r="H202"/>
      <c r="I202"/>
      <c r="J202"/>
      <c r="K202"/>
      <c r="L202"/>
      <c r="M202" s="18"/>
      <c r="N202"/>
      <c r="O202" s="13"/>
      <c r="P202" s="13"/>
      <c r="Q202" s="13"/>
      <c r="R202"/>
    </row>
    <row r="203" spans="1:18" ht="20.100000000000001" customHeight="1" x14ac:dyDescent="0.3">
      <c r="A203"/>
      <c r="B203"/>
      <c r="C203"/>
      <c r="D203"/>
      <c r="E203"/>
      <c r="F203"/>
      <c r="G203"/>
      <c r="H203"/>
      <c r="I203"/>
      <c r="J203"/>
      <c r="K203"/>
      <c r="L203"/>
      <c r="M203" s="18"/>
      <c r="N203"/>
      <c r="O203" s="13"/>
      <c r="P203" s="13"/>
      <c r="Q203" s="13"/>
      <c r="R203"/>
    </row>
    <row r="204" spans="1:18" ht="20.100000000000001" customHeight="1" x14ac:dyDescent="0.3">
      <c r="A204"/>
      <c r="B204"/>
      <c r="C204"/>
      <c r="D204"/>
      <c r="E204"/>
      <c r="F204"/>
      <c r="G204"/>
      <c r="H204"/>
      <c r="I204"/>
      <c r="J204"/>
      <c r="K204"/>
      <c r="L204"/>
      <c r="M204" s="18"/>
      <c r="N204"/>
      <c r="O204" s="13"/>
      <c r="P204" s="13"/>
      <c r="Q204" s="13"/>
      <c r="R204"/>
    </row>
    <row r="205" spans="1:18" ht="20.100000000000001" customHeight="1" x14ac:dyDescent="0.3">
      <c r="A205"/>
      <c r="B205"/>
      <c r="C205"/>
      <c r="D205"/>
      <c r="E205"/>
      <c r="F205"/>
      <c r="G205"/>
      <c r="H205"/>
      <c r="I205"/>
      <c r="J205"/>
      <c r="K205"/>
      <c r="L205"/>
      <c r="M205" s="18"/>
      <c r="N205"/>
      <c r="O205" s="13"/>
      <c r="P205" s="13"/>
      <c r="Q205" s="13"/>
      <c r="R205"/>
    </row>
    <row r="206" spans="1:18" ht="20.100000000000001" customHeight="1" x14ac:dyDescent="0.3">
      <c r="A206"/>
      <c r="B206"/>
      <c r="C206"/>
      <c r="D206"/>
      <c r="E206"/>
      <c r="F206"/>
      <c r="G206"/>
      <c r="H206"/>
      <c r="I206"/>
      <c r="J206"/>
      <c r="K206"/>
      <c r="L206"/>
      <c r="M206" s="18"/>
      <c r="N206"/>
      <c r="O206" s="13"/>
      <c r="P206" s="13"/>
      <c r="Q206" s="13"/>
      <c r="R206"/>
    </row>
    <row r="207" spans="1:18" ht="20.100000000000001" customHeight="1" x14ac:dyDescent="0.3">
      <c r="A207"/>
      <c r="B207"/>
      <c r="C207"/>
      <c r="D207"/>
      <c r="E207"/>
      <c r="F207"/>
      <c r="G207"/>
      <c r="H207"/>
      <c r="I207"/>
      <c r="J207"/>
      <c r="K207"/>
      <c r="L207"/>
      <c r="M207" s="18"/>
      <c r="N207"/>
      <c r="O207" s="13"/>
      <c r="P207" s="13"/>
      <c r="Q207" s="13"/>
      <c r="R207"/>
    </row>
    <row r="208" spans="1:18" ht="20.100000000000001" customHeight="1" x14ac:dyDescent="0.3">
      <c r="A208"/>
      <c r="B208"/>
      <c r="C208"/>
      <c r="D208"/>
      <c r="E208"/>
      <c r="F208"/>
      <c r="G208"/>
      <c r="H208"/>
      <c r="I208"/>
      <c r="J208"/>
      <c r="K208"/>
      <c r="L208"/>
      <c r="M208" s="18"/>
      <c r="N208"/>
      <c r="O208" s="13"/>
      <c r="P208" s="13"/>
      <c r="Q208" s="13"/>
      <c r="R208"/>
    </row>
    <row r="209" spans="1:18" ht="20.100000000000001" customHeight="1" x14ac:dyDescent="0.3">
      <c r="A209"/>
      <c r="B209"/>
      <c r="C209"/>
      <c r="D209"/>
      <c r="E209"/>
      <c r="F209"/>
      <c r="G209"/>
      <c r="H209"/>
      <c r="I209"/>
      <c r="J209"/>
      <c r="K209"/>
      <c r="L209"/>
      <c r="M209" s="18"/>
      <c r="N209"/>
      <c r="O209" s="13"/>
      <c r="P209" s="13"/>
      <c r="Q209" s="13"/>
      <c r="R209"/>
    </row>
    <row r="210" spans="1:18" ht="20.100000000000001" customHeight="1" x14ac:dyDescent="0.3">
      <c r="A210"/>
      <c r="B210"/>
      <c r="C210"/>
      <c r="D210"/>
      <c r="E210"/>
      <c r="F210"/>
      <c r="G210"/>
      <c r="H210"/>
      <c r="I210"/>
      <c r="J210"/>
      <c r="K210"/>
      <c r="L210"/>
      <c r="M210" s="18"/>
      <c r="N210"/>
      <c r="O210" s="13"/>
      <c r="P210" s="13"/>
      <c r="Q210" s="13"/>
      <c r="R210"/>
    </row>
    <row r="211" spans="1:18" ht="20.100000000000001" customHeight="1" x14ac:dyDescent="0.3">
      <c r="A211"/>
      <c r="B211"/>
      <c r="C211"/>
      <c r="D211"/>
      <c r="E211"/>
      <c r="F211"/>
      <c r="G211"/>
      <c r="H211"/>
      <c r="I211"/>
      <c r="J211"/>
      <c r="K211"/>
      <c r="L211"/>
      <c r="M211" s="18"/>
      <c r="N211"/>
      <c r="O211" s="13"/>
      <c r="P211" s="13"/>
      <c r="Q211" s="13"/>
      <c r="R211"/>
    </row>
    <row r="212" spans="1:18" ht="20.100000000000001" customHeight="1" x14ac:dyDescent="0.3">
      <c r="A212"/>
      <c r="B212"/>
      <c r="C212"/>
      <c r="D212"/>
      <c r="E212"/>
      <c r="F212"/>
      <c r="G212"/>
      <c r="H212"/>
      <c r="I212"/>
      <c r="J212"/>
      <c r="K212"/>
      <c r="L212"/>
      <c r="M212" s="18"/>
      <c r="N212"/>
      <c r="O212" s="13"/>
      <c r="P212" s="13"/>
      <c r="Q212" s="13"/>
      <c r="R212"/>
    </row>
    <row r="213" spans="1:18" ht="20.100000000000001" customHeight="1" x14ac:dyDescent="0.3">
      <c r="A213"/>
      <c r="B213"/>
      <c r="C213"/>
      <c r="D213"/>
      <c r="E213"/>
      <c r="F213"/>
      <c r="G213"/>
      <c r="H213"/>
      <c r="I213"/>
      <c r="J213"/>
      <c r="K213"/>
      <c r="L213"/>
      <c r="M213" s="18"/>
      <c r="N213"/>
      <c r="O213" s="13"/>
      <c r="P213" s="13"/>
      <c r="Q213" s="13"/>
      <c r="R213"/>
    </row>
    <row r="214" spans="1:18" ht="20.100000000000001" customHeight="1" x14ac:dyDescent="0.3">
      <c r="A214"/>
      <c r="B214"/>
      <c r="C214"/>
      <c r="D214"/>
      <c r="E214"/>
      <c r="F214"/>
      <c r="G214"/>
      <c r="H214"/>
      <c r="I214"/>
      <c r="J214"/>
      <c r="K214"/>
      <c r="L214"/>
      <c r="M214" s="18"/>
      <c r="N214"/>
      <c r="O214" s="13"/>
      <c r="P214" s="13"/>
      <c r="Q214" s="13"/>
      <c r="R214"/>
    </row>
    <row r="215" spans="1:18" ht="20.100000000000001" customHeight="1" x14ac:dyDescent="0.3">
      <c r="A215"/>
      <c r="B215"/>
      <c r="C215"/>
      <c r="D215"/>
      <c r="E215"/>
      <c r="F215"/>
      <c r="G215"/>
      <c r="H215"/>
      <c r="I215"/>
      <c r="J215"/>
      <c r="K215"/>
      <c r="L215"/>
      <c r="M215" s="18"/>
      <c r="N215"/>
      <c r="O215" s="13"/>
      <c r="P215" s="13"/>
      <c r="Q215" s="13"/>
      <c r="R215"/>
    </row>
    <row r="216" spans="1:18" ht="20.100000000000001" customHeight="1" x14ac:dyDescent="0.3">
      <c r="A216"/>
      <c r="B216"/>
      <c r="C216"/>
      <c r="D216"/>
      <c r="E216"/>
      <c r="F216"/>
      <c r="G216"/>
      <c r="H216"/>
      <c r="I216"/>
      <c r="J216"/>
      <c r="K216"/>
      <c r="L216"/>
      <c r="M216" s="18"/>
      <c r="N216"/>
      <c r="O216" s="13"/>
      <c r="P216" s="13"/>
      <c r="Q216" s="13"/>
      <c r="R216"/>
    </row>
    <row r="217" spans="1:18" ht="20.100000000000001" customHeight="1" x14ac:dyDescent="0.3">
      <c r="A217"/>
      <c r="B217"/>
      <c r="C217"/>
      <c r="D217"/>
      <c r="E217"/>
      <c r="F217"/>
      <c r="G217"/>
      <c r="H217"/>
      <c r="I217"/>
      <c r="J217"/>
      <c r="K217"/>
      <c r="L217"/>
      <c r="M217" s="18"/>
      <c r="N217"/>
      <c r="O217" s="13"/>
      <c r="P217" s="13"/>
      <c r="Q217" s="13"/>
      <c r="R217"/>
    </row>
    <row r="218" spans="1:18" ht="20.100000000000001" customHeight="1" x14ac:dyDescent="0.3">
      <c r="A218"/>
      <c r="B218"/>
      <c r="C218"/>
      <c r="D218"/>
      <c r="E218"/>
      <c r="F218"/>
      <c r="G218"/>
      <c r="H218"/>
      <c r="I218"/>
      <c r="J218"/>
      <c r="K218"/>
      <c r="L218"/>
      <c r="M218" s="18"/>
      <c r="N218"/>
      <c r="O218" s="13"/>
      <c r="P218" s="13"/>
      <c r="Q218" s="13"/>
      <c r="R218"/>
    </row>
    <row r="219" spans="1:18" ht="20.100000000000001" customHeight="1" x14ac:dyDescent="0.3">
      <c r="A219"/>
      <c r="B219"/>
      <c r="C219"/>
      <c r="D219"/>
      <c r="E219"/>
      <c r="F219"/>
      <c r="G219"/>
      <c r="H219"/>
      <c r="I219"/>
      <c r="J219"/>
      <c r="K219"/>
      <c r="L219"/>
      <c r="M219" s="18"/>
      <c r="N219"/>
      <c r="O219" s="13"/>
      <c r="P219" s="13"/>
      <c r="Q219" s="13"/>
      <c r="R219"/>
    </row>
    <row r="220" spans="1:18" ht="20.100000000000001" customHeight="1" x14ac:dyDescent="0.3">
      <c r="A220"/>
      <c r="B220"/>
      <c r="C220"/>
      <c r="D220"/>
      <c r="E220"/>
      <c r="F220"/>
      <c r="G220"/>
      <c r="H220"/>
      <c r="I220"/>
      <c r="J220"/>
      <c r="K220"/>
      <c r="L220"/>
      <c r="M220" s="18"/>
      <c r="N220"/>
      <c r="O220" s="13"/>
      <c r="P220" s="13"/>
      <c r="Q220" s="13"/>
      <c r="R220"/>
    </row>
    <row r="221" spans="1:18" ht="20.100000000000001" customHeight="1" x14ac:dyDescent="0.3">
      <c r="A221"/>
      <c r="B221"/>
      <c r="C221"/>
      <c r="D221"/>
      <c r="E221"/>
      <c r="F221"/>
      <c r="G221"/>
      <c r="H221"/>
      <c r="I221"/>
      <c r="J221"/>
      <c r="K221"/>
      <c r="L221"/>
      <c r="M221" s="18"/>
      <c r="N221"/>
      <c r="O221" s="13"/>
      <c r="P221" s="13"/>
      <c r="Q221" s="13"/>
      <c r="R221"/>
    </row>
    <row r="222" spans="1:18" ht="20.100000000000001" customHeight="1" x14ac:dyDescent="0.3">
      <c r="A222"/>
      <c r="B222"/>
      <c r="C222"/>
      <c r="D222"/>
      <c r="E222"/>
      <c r="F222"/>
      <c r="G222"/>
      <c r="H222"/>
      <c r="I222"/>
      <c r="J222"/>
      <c r="K222"/>
      <c r="L222"/>
      <c r="M222" s="18"/>
      <c r="N222"/>
      <c r="O222" s="13"/>
      <c r="P222" s="13"/>
      <c r="Q222" s="13"/>
      <c r="R222"/>
    </row>
    <row r="223" spans="1:18" ht="20.100000000000001" customHeight="1" x14ac:dyDescent="0.3">
      <c r="A223"/>
      <c r="B223"/>
      <c r="C223"/>
      <c r="D223"/>
      <c r="E223"/>
      <c r="F223"/>
      <c r="G223"/>
      <c r="H223"/>
      <c r="I223"/>
      <c r="J223"/>
      <c r="K223"/>
      <c r="L223"/>
      <c r="M223" s="18"/>
      <c r="N223"/>
      <c r="O223" s="13"/>
      <c r="P223" s="13"/>
      <c r="Q223" s="13"/>
      <c r="R223"/>
    </row>
    <row r="224" spans="1:18" ht="20.100000000000001" customHeight="1" x14ac:dyDescent="0.3">
      <c r="A224"/>
      <c r="B224"/>
      <c r="C224"/>
      <c r="D224"/>
      <c r="E224"/>
      <c r="F224"/>
      <c r="G224"/>
      <c r="H224"/>
      <c r="I224"/>
      <c r="J224"/>
      <c r="K224"/>
      <c r="L224"/>
      <c r="M224" s="18"/>
      <c r="N224"/>
      <c r="O224" s="13"/>
      <c r="P224" s="13"/>
      <c r="Q224" s="13"/>
      <c r="R224"/>
    </row>
    <row r="225" spans="1:18" ht="20.100000000000001" customHeight="1" x14ac:dyDescent="0.3">
      <c r="A225"/>
      <c r="B225"/>
      <c r="C225"/>
      <c r="D225"/>
      <c r="E225"/>
      <c r="F225"/>
      <c r="G225"/>
      <c r="H225"/>
      <c r="I225"/>
      <c r="J225"/>
      <c r="K225"/>
      <c r="L225"/>
      <c r="M225" s="18"/>
      <c r="N225"/>
      <c r="O225" s="13"/>
      <c r="P225" s="13"/>
      <c r="Q225" s="13"/>
      <c r="R225"/>
    </row>
    <row r="226" spans="1:18" ht="20.100000000000001" customHeight="1" x14ac:dyDescent="0.3">
      <c r="A226"/>
      <c r="B226"/>
      <c r="C226"/>
      <c r="D226"/>
      <c r="E226"/>
      <c r="F226"/>
      <c r="G226"/>
      <c r="H226"/>
      <c r="I226"/>
      <c r="J226"/>
      <c r="K226"/>
      <c r="L226"/>
      <c r="M226" s="18"/>
      <c r="N226"/>
      <c r="O226" s="13"/>
      <c r="P226" s="13"/>
      <c r="Q226" s="13"/>
      <c r="R226"/>
    </row>
    <row r="227" spans="1:18" ht="20.100000000000001" customHeight="1" x14ac:dyDescent="0.3">
      <c r="A227"/>
      <c r="B227"/>
      <c r="C227"/>
      <c r="D227"/>
      <c r="E227"/>
      <c r="F227"/>
      <c r="G227"/>
      <c r="H227"/>
      <c r="I227"/>
      <c r="J227"/>
      <c r="K227"/>
      <c r="L227"/>
      <c r="M227" s="18"/>
      <c r="N227"/>
      <c r="O227" s="13"/>
      <c r="P227" s="13"/>
      <c r="Q227" s="13"/>
      <c r="R227"/>
    </row>
    <row r="228" spans="1:18" ht="20.100000000000001" customHeight="1" x14ac:dyDescent="0.3">
      <c r="A228"/>
      <c r="B228"/>
      <c r="C228"/>
      <c r="D228"/>
      <c r="E228"/>
      <c r="F228"/>
      <c r="G228"/>
      <c r="H228"/>
      <c r="I228"/>
      <c r="J228"/>
      <c r="K228"/>
      <c r="L228"/>
      <c r="M228" s="18"/>
      <c r="N228"/>
      <c r="O228" s="13"/>
      <c r="P228" s="13"/>
      <c r="Q228" s="13"/>
      <c r="R228"/>
    </row>
    <row r="229" spans="1:18" ht="20.100000000000001" customHeight="1" x14ac:dyDescent="0.3">
      <c r="A229"/>
      <c r="B229"/>
      <c r="C229"/>
      <c r="D229"/>
      <c r="E229"/>
      <c r="F229"/>
      <c r="G229"/>
      <c r="H229"/>
      <c r="I229"/>
      <c r="J229"/>
      <c r="K229"/>
      <c r="L229"/>
      <c r="M229" s="18"/>
      <c r="N229"/>
      <c r="O229" s="13"/>
      <c r="P229" s="13"/>
      <c r="Q229" s="13"/>
      <c r="R229"/>
    </row>
    <row r="230" spans="1:18" ht="20.100000000000001" customHeight="1" x14ac:dyDescent="0.3">
      <c r="A230"/>
      <c r="B230"/>
      <c r="C230"/>
      <c r="D230"/>
      <c r="E230"/>
      <c r="F230"/>
      <c r="G230"/>
      <c r="H230"/>
      <c r="I230"/>
      <c r="J230"/>
      <c r="K230"/>
      <c r="L230"/>
      <c r="M230" s="18"/>
      <c r="N230"/>
      <c r="O230" s="13"/>
      <c r="P230" s="13"/>
      <c r="Q230" s="13"/>
      <c r="R230"/>
    </row>
    <row r="231" spans="1:18" ht="20.100000000000001" customHeight="1" x14ac:dyDescent="0.3">
      <c r="A231"/>
      <c r="B231"/>
      <c r="C231"/>
      <c r="D231"/>
      <c r="E231"/>
      <c r="F231"/>
      <c r="G231"/>
      <c r="H231"/>
      <c r="I231"/>
      <c r="J231"/>
      <c r="K231"/>
      <c r="L231"/>
      <c r="M231" s="18"/>
      <c r="N231"/>
      <c r="O231" s="13"/>
      <c r="P231" s="13"/>
      <c r="Q231" s="13"/>
      <c r="R231"/>
    </row>
    <row r="232" spans="1:18" ht="20.100000000000001" customHeight="1" x14ac:dyDescent="0.3">
      <c r="A232"/>
      <c r="B232"/>
      <c r="C232"/>
      <c r="D232"/>
      <c r="E232"/>
      <c r="F232"/>
      <c r="G232"/>
      <c r="H232"/>
      <c r="I232"/>
      <c r="J232"/>
      <c r="K232"/>
      <c r="L232"/>
      <c r="M232" s="18"/>
      <c r="N232"/>
      <c r="O232" s="13"/>
      <c r="P232" s="13"/>
      <c r="Q232" s="13"/>
      <c r="R232"/>
    </row>
    <row r="233" spans="1:18" ht="20.100000000000001" customHeight="1" x14ac:dyDescent="0.3">
      <c r="A233"/>
      <c r="B233"/>
      <c r="C233"/>
      <c r="D233"/>
      <c r="E233"/>
      <c r="F233"/>
      <c r="G233"/>
      <c r="H233"/>
      <c r="I233"/>
      <c r="J233"/>
      <c r="K233"/>
      <c r="L233"/>
      <c r="M233" s="18"/>
      <c r="N233"/>
      <c r="O233" s="13"/>
      <c r="P233" s="13"/>
      <c r="Q233" s="13"/>
      <c r="R233"/>
    </row>
    <row r="234" spans="1:18" ht="20.100000000000001" customHeight="1" x14ac:dyDescent="0.3">
      <c r="A234"/>
      <c r="B234"/>
      <c r="C234"/>
      <c r="D234"/>
      <c r="E234"/>
      <c r="F234"/>
      <c r="G234"/>
      <c r="H234"/>
      <c r="I234"/>
      <c r="J234"/>
      <c r="K234"/>
      <c r="L234"/>
      <c r="M234" s="18"/>
      <c r="N234"/>
      <c r="O234" s="13"/>
      <c r="P234" s="13"/>
      <c r="Q234" s="13"/>
      <c r="R234"/>
    </row>
    <row r="235" spans="1:18" ht="20.100000000000001" customHeight="1" x14ac:dyDescent="0.3">
      <c r="A235"/>
      <c r="B235"/>
      <c r="C235"/>
      <c r="D235"/>
      <c r="E235"/>
      <c r="F235"/>
      <c r="G235"/>
      <c r="H235"/>
      <c r="I235"/>
      <c r="J235"/>
      <c r="K235"/>
      <c r="L235"/>
      <c r="M235" s="18"/>
      <c r="N235"/>
      <c r="O235" s="13"/>
      <c r="P235" s="13"/>
      <c r="Q235" s="13"/>
      <c r="R235"/>
    </row>
    <row r="236" spans="1:18" ht="20.100000000000001" customHeight="1" x14ac:dyDescent="0.3">
      <c r="A236"/>
      <c r="B236"/>
      <c r="C236"/>
      <c r="D236"/>
      <c r="E236"/>
      <c r="F236"/>
      <c r="G236"/>
      <c r="H236"/>
      <c r="I236"/>
      <c r="J236"/>
      <c r="K236"/>
      <c r="L236"/>
      <c r="M236" s="18"/>
      <c r="N236"/>
      <c r="O236" s="13"/>
      <c r="P236" s="13"/>
      <c r="Q236" s="13"/>
      <c r="R236"/>
    </row>
    <row r="237" spans="1:18" ht="20.100000000000001" customHeight="1" x14ac:dyDescent="0.3">
      <c r="A237"/>
      <c r="B237"/>
      <c r="C237"/>
      <c r="D237"/>
      <c r="E237"/>
      <c r="F237"/>
      <c r="G237"/>
      <c r="H237"/>
      <c r="I237"/>
      <c r="J237"/>
      <c r="K237"/>
      <c r="L237"/>
      <c r="M237" s="18"/>
      <c r="N237"/>
      <c r="O237" s="13"/>
      <c r="P237" s="13"/>
      <c r="Q237" s="13"/>
      <c r="R237"/>
    </row>
    <row r="238" spans="1:18" ht="20.100000000000001" customHeight="1" x14ac:dyDescent="0.3">
      <c r="A238"/>
      <c r="B238"/>
      <c r="C238"/>
      <c r="D238"/>
      <c r="E238"/>
      <c r="F238"/>
      <c r="G238"/>
      <c r="H238"/>
      <c r="I238"/>
      <c r="J238"/>
      <c r="K238"/>
      <c r="L238"/>
      <c r="M238" s="18"/>
      <c r="N238"/>
      <c r="O238" s="13"/>
      <c r="P238" s="13"/>
      <c r="Q238" s="13"/>
      <c r="R238"/>
    </row>
    <row r="239" spans="1:18" ht="20.100000000000001" customHeight="1" x14ac:dyDescent="0.3">
      <c r="A239"/>
      <c r="B239"/>
      <c r="C239"/>
      <c r="D239"/>
      <c r="E239"/>
      <c r="F239"/>
      <c r="G239"/>
      <c r="H239"/>
      <c r="I239"/>
      <c r="J239"/>
      <c r="K239"/>
      <c r="L239"/>
      <c r="M239" s="18"/>
      <c r="N239"/>
      <c r="O239" s="13"/>
      <c r="P239" s="13"/>
      <c r="Q239" s="13"/>
      <c r="R239"/>
    </row>
    <row r="240" spans="1:18" ht="20.100000000000001" customHeight="1" x14ac:dyDescent="0.3">
      <c r="A240"/>
      <c r="B240"/>
      <c r="C240"/>
      <c r="D240"/>
      <c r="E240"/>
      <c r="F240"/>
      <c r="G240"/>
      <c r="H240"/>
      <c r="I240"/>
      <c r="J240"/>
      <c r="K240"/>
      <c r="L240"/>
      <c r="M240" s="18"/>
      <c r="N240"/>
      <c r="O240" s="13"/>
      <c r="P240" s="13"/>
      <c r="Q240" s="13"/>
      <c r="R240"/>
    </row>
    <row r="241" spans="1:18" ht="20.100000000000001" customHeight="1" x14ac:dyDescent="0.3">
      <c r="A241"/>
      <c r="B241"/>
      <c r="C241"/>
      <c r="D241"/>
      <c r="E241"/>
      <c r="F241"/>
      <c r="G241"/>
      <c r="H241"/>
      <c r="I241"/>
      <c r="J241"/>
      <c r="K241"/>
      <c r="L241"/>
      <c r="M241" s="18"/>
      <c r="N241"/>
      <c r="O241" s="13"/>
      <c r="P241" s="13"/>
      <c r="Q241" s="13"/>
      <c r="R241"/>
    </row>
    <row r="242" spans="1:18" ht="20.100000000000001" customHeight="1" x14ac:dyDescent="0.3">
      <c r="A242"/>
      <c r="B242"/>
      <c r="C242"/>
      <c r="D242"/>
      <c r="E242"/>
      <c r="F242"/>
      <c r="G242"/>
      <c r="H242"/>
      <c r="I242"/>
      <c r="J242"/>
      <c r="K242"/>
      <c r="L242"/>
      <c r="M242" s="18"/>
      <c r="N242"/>
      <c r="O242" s="13"/>
      <c r="P242" s="13"/>
      <c r="Q242" s="13"/>
      <c r="R242"/>
    </row>
    <row r="243" spans="1:18" ht="20.100000000000001" customHeight="1" x14ac:dyDescent="0.3">
      <c r="A243"/>
      <c r="B243"/>
      <c r="C243"/>
      <c r="D243"/>
      <c r="E243"/>
      <c r="F243"/>
      <c r="G243"/>
      <c r="H243"/>
      <c r="I243"/>
      <c r="J243"/>
      <c r="K243"/>
      <c r="L243"/>
      <c r="M243" s="18"/>
      <c r="N243"/>
      <c r="O243" s="13"/>
      <c r="P243" s="13"/>
      <c r="Q243" s="13"/>
      <c r="R243"/>
    </row>
    <row r="244" spans="1:18" ht="20.100000000000001" customHeight="1" x14ac:dyDescent="0.3">
      <c r="A244"/>
      <c r="B244"/>
      <c r="C244"/>
      <c r="D244"/>
      <c r="E244"/>
      <c r="F244"/>
      <c r="G244"/>
      <c r="H244"/>
      <c r="I244"/>
      <c r="J244"/>
      <c r="K244"/>
      <c r="L244"/>
      <c r="M244" s="18"/>
      <c r="N244"/>
      <c r="O244" s="13"/>
      <c r="P244" s="13"/>
      <c r="Q244" s="13"/>
      <c r="R244"/>
    </row>
    <row r="245" spans="1:18" ht="20.100000000000001" customHeight="1" x14ac:dyDescent="0.3">
      <c r="A245"/>
      <c r="B245"/>
      <c r="C245"/>
      <c r="D245"/>
      <c r="E245"/>
      <c r="F245"/>
      <c r="G245"/>
      <c r="H245"/>
      <c r="I245"/>
      <c r="J245"/>
      <c r="K245"/>
      <c r="L245"/>
      <c r="M245" s="18"/>
      <c r="N245"/>
      <c r="O245" s="13"/>
      <c r="P245" s="13"/>
      <c r="Q245" s="13"/>
      <c r="R245"/>
    </row>
    <row r="246" spans="1:18" ht="20.100000000000001" customHeight="1" x14ac:dyDescent="0.3">
      <c r="A246"/>
      <c r="B246"/>
      <c r="C246"/>
      <c r="D246"/>
      <c r="E246"/>
      <c r="F246"/>
      <c r="G246"/>
      <c r="H246"/>
      <c r="I246"/>
      <c r="J246"/>
      <c r="K246"/>
      <c r="L246"/>
      <c r="M246" s="18"/>
      <c r="N246"/>
      <c r="O246" s="13"/>
      <c r="P246" s="13"/>
      <c r="Q246" s="13"/>
      <c r="R246"/>
    </row>
    <row r="247" spans="1:18" ht="20.100000000000001" customHeight="1" x14ac:dyDescent="0.3">
      <c r="A247"/>
      <c r="B247"/>
      <c r="C247"/>
      <c r="D247"/>
      <c r="E247"/>
      <c r="F247"/>
      <c r="G247"/>
      <c r="H247"/>
      <c r="I247"/>
      <c r="J247"/>
      <c r="K247"/>
      <c r="L247"/>
      <c r="M247" s="18"/>
      <c r="N247"/>
      <c r="O247" s="13"/>
      <c r="P247" s="13"/>
      <c r="Q247" s="13"/>
      <c r="R247"/>
    </row>
    <row r="248" spans="1:18" ht="20.100000000000001" customHeight="1" x14ac:dyDescent="0.3">
      <c r="A248"/>
      <c r="B248"/>
      <c r="C248"/>
      <c r="D248"/>
      <c r="E248"/>
      <c r="F248"/>
      <c r="G248"/>
      <c r="H248"/>
      <c r="I248"/>
      <c r="J248"/>
      <c r="K248"/>
      <c r="L248"/>
      <c r="M248" s="18"/>
      <c r="N248"/>
      <c r="O248" s="13"/>
      <c r="P248" s="13"/>
      <c r="Q248" s="13"/>
      <c r="R248"/>
    </row>
    <row r="249" spans="1:18" ht="20.100000000000001" customHeight="1" x14ac:dyDescent="0.3">
      <c r="A249"/>
      <c r="B249"/>
      <c r="C249"/>
      <c r="D249"/>
      <c r="E249"/>
      <c r="F249"/>
      <c r="G249"/>
      <c r="H249"/>
      <c r="I249"/>
      <c r="J249"/>
      <c r="K249"/>
      <c r="L249"/>
      <c r="M249" s="18"/>
      <c r="N249"/>
      <c r="O249" s="13"/>
      <c r="P249" s="13"/>
      <c r="Q249" s="13"/>
      <c r="R249"/>
    </row>
    <row r="250" spans="1:18" ht="20.100000000000001" customHeight="1" x14ac:dyDescent="0.3">
      <c r="A250"/>
      <c r="B250"/>
      <c r="C250"/>
      <c r="D250"/>
      <c r="E250"/>
      <c r="F250"/>
      <c r="G250"/>
      <c r="H250"/>
      <c r="I250"/>
      <c r="J250"/>
      <c r="K250"/>
      <c r="L250"/>
      <c r="M250" s="18"/>
      <c r="N250"/>
      <c r="O250" s="13"/>
      <c r="P250" s="13"/>
      <c r="Q250" s="13"/>
      <c r="R250"/>
    </row>
    <row r="251" spans="1:18" ht="20.100000000000001" customHeight="1" x14ac:dyDescent="0.3">
      <c r="A251"/>
      <c r="B251"/>
      <c r="C251"/>
      <c r="D251"/>
      <c r="E251"/>
      <c r="F251"/>
      <c r="G251"/>
      <c r="H251"/>
      <c r="I251"/>
      <c r="J251"/>
      <c r="K251"/>
      <c r="L251"/>
      <c r="M251" s="18"/>
      <c r="N251"/>
      <c r="O251" s="13"/>
      <c r="P251" s="13"/>
      <c r="Q251" s="13"/>
      <c r="R251"/>
    </row>
    <row r="252" spans="1:18" ht="20.100000000000001" customHeight="1" x14ac:dyDescent="0.3">
      <c r="A252"/>
      <c r="B252"/>
      <c r="C252"/>
      <c r="D252"/>
      <c r="E252"/>
      <c r="F252"/>
      <c r="G252"/>
      <c r="H252"/>
      <c r="I252"/>
      <c r="J252"/>
      <c r="K252"/>
      <c r="L252"/>
      <c r="M252" s="18"/>
      <c r="N252"/>
      <c r="O252" s="13"/>
      <c r="P252" s="13"/>
      <c r="Q252" s="13"/>
      <c r="R252"/>
    </row>
    <row r="253" spans="1:18" ht="20.100000000000001" customHeight="1" x14ac:dyDescent="0.3">
      <c r="A253"/>
      <c r="B253"/>
      <c r="C253"/>
      <c r="D253"/>
      <c r="E253"/>
      <c r="F253"/>
      <c r="G253"/>
      <c r="H253"/>
      <c r="I253"/>
      <c r="J253"/>
      <c r="K253"/>
      <c r="L253"/>
      <c r="M253" s="18"/>
      <c r="N253"/>
      <c r="O253" s="13"/>
      <c r="P253" s="13"/>
      <c r="Q253" s="13"/>
      <c r="R253"/>
    </row>
    <row r="254" spans="1:18" ht="20.100000000000001" customHeight="1" x14ac:dyDescent="0.3">
      <c r="A254"/>
      <c r="B254"/>
      <c r="C254"/>
      <c r="D254"/>
      <c r="E254"/>
      <c r="F254"/>
      <c r="G254"/>
      <c r="H254"/>
      <c r="I254"/>
      <c r="J254"/>
      <c r="K254"/>
      <c r="L254"/>
      <c r="M254" s="18"/>
      <c r="N254"/>
      <c r="O254" s="13"/>
      <c r="P254" s="13"/>
      <c r="Q254" s="13"/>
      <c r="R254"/>
    </row>
    <row r="255" spans="1:18" ht="20.100000000000001" customHeight="1" x14ac:dyDescent="0.3">
      <c r="A255"/>
      <c r="B255"/>
      <c r="C255"/>
      <c r="D255"/>
      <c r="E255"/>
      <c r="F255"/>
      <c r="G255"/>
      <c r="H255"/>
      <c r="I255"/>
      <c r="J255"/>
      <c r="K255"/>
      <c r="L255"/>
      <c r="M255" s="18"/>
      <c r="N255"/>
      <c r="O255" s="13"/>
      <c r="P255" s="13"/>
      <c r="Q255" s="13"/>
      <c r="R255"/>
    </row>
    <row r="256" spans="1:18" ht="20.100000000000001" customHeight="1" x14ac:dyDescent="0.3">
      <c r="A256"/>
      <c r="B256"/>
      <c r="C256"/>
      <c r="D256"/>
      <c r="E256"/>
      <c r="F256"/>
      <c r="G256"/>
      <c r="H256"/>
      <c r="I256"/>
      <c r="J256"/>
      <c r="K256"/>
      <c r="L256"/>
      <c r="M256" s="18"/>
      <c r="N256"/>
      <c r="O256" s="13"/>
      <c r="P256" s="13"/>
      <c r="Q256" s="13"/>
      <c r="R256"/>
    </row>
    <row r="257" spans="1:18" ht="20.100000000000001" customHeight="1" x14ac:dyDescent="0.3">
      <c r="A257"/>
      <c r="B257"/>
      <c r="C257"/>
      <c r="D257"/>
      <c r="E257"/>
      <c r="F257"/>
      <c r="G257"/>
      <c r="H257"/>
      <c r="I257"/>
      <c r="J257"/>
      <c r="K257"/>
      <c r="L257"/>
      <c r="M257" s="18"/>
      <c r="N257"/>
      <c r="O257" s="13"/>
      <c r="P257" s="13"/>
      <c r="Q257" s="13"/>
      <c r="R257"/>
    </row>
    <row r="258" spans="1:18" ht="20.100000000000001" customHeight="1" x14ac:dyDescent="0.3">
      <c r="A258"/>
      <c r="B258"/>
      <c r="C258"/>
      <c r="D258"/>
      <c r="E258"/>
      <c r="F258"/>
      <c r="G258"/>
      <c r="H258"/>
      <c r="I258"/>
      <c r="J258"/>
      <c r="K258"/>
      <c r="L258"/>
      <c r="M258" s="18"/>
      <c r="N258"/>
      <c r="O258" s="13"/>
      <c r="P258" s="13"/>
      <c r="Q258" s="13"/>
      <c r="R258"/>
    </row>
    <row r="259" spans="1:18" ht="20.100000000000001" customHeight="1" x14ac:dyDescent="0.3">
      <c r="A259"/>
      <c r="B259"/>
      <c r="C259"/>
      <c r="D259"/>
      <c r="E259"/>
      <c r="F259"/>
      <c r="G259"/>
      <c r="H259"/>
      <c r="I259"/>
      <c r="J259"/>
      <c r="K259"/>
      <c r="L259"/>
      <c r="M259" s="18"/>
      <c r="N259"/>
      <c r="O259" s="13"/>
      <c r="P259" s="13"/>
      <c r="Q259" s="13"/>
      <c r="R259"/>
    </row>
    <row r="260" spans="1:18" ht="20.100000000000001" customHeight="1" x14ac:dyDescent="0.3">
      <c r="A260"/>
      <c r="B260"/>
      <c r="C260"/>
      <c r="D260"/>
      <c r="E260"/>
      <c r="F260"/>
      <c r="G260"/>
      <c r="H260"/>
      <c r="I260"/>
      <c r="J260"/>
      <c r="K260"/>
      <c r="L260"/>
      <c r="M260" s="18"/>
      <c r="N260"/>
      <c r="O260" s="13"/>
      <c r="P260" s="13"/>
      <c r="Q260" s="13"/>
      <c r="R260"/>
    </row>
    <row r="261" spans="1:18" ht="20.100000000000001" customHeight="1" x14ac:dyDescent="0.3">
      <c r="A261"/>
      <c r="B261"/>
      <c r="C261"/>
      <c r="D261"/>
      <c r="E261"/>
      <c r="F261"/>
      <c r="G261"/>
      <c r="H261"/>
      <c r="I261"/>
      <c r="J261"/>
      <c r="K261"/>
      <c r="L261"/>
      <c r="M261" s="18"/>
      <c r="N261"/>
      <c r="O261" s="13"/>
      <c r="P261" s="13"/>
      <c r="Q261" s="13"/>
      <c r="R261"/>
    </row>
    <row r="262" spans="1:18" ht="20.100000000000001" customHeight="1" x14ac:dyDescent="0.3">
      <c r="A262"/>
      <c r="B262"/>
      <c r="C262"/>
      <c r="D262"/>
      <c r="E262"/>
      <c r="F262"/>
      <c r="G262"/>
      <c r="H262"/>
      <c r="I262"/>
      <c r="J262"/>
      <c r="K262"/>
      <c r="L262"/>
      <c r="M262" s="18"/>
      <c r="N262"/>
      <c r="O262" s="13"/>
      <c r="P262" s="13"/>
      <c r="Q262" s="13"/>
      <c r="R262"/>
    </row>
    <row r="263" spans="1:18" ht="20.100000000000001" customHeight="1" x14ac:dyDescent="0.3">
      <c r="A263"/>
      <c r="B263"/>
      <c r="C263"/>
      <c r="D263"/>
      <c r="E263"/>
      <c r="F263"/>
      <c r="G263"/>
      <c r="H263"/>
      <c r="I263"/>
      <c r="J263"/>
      <c r="K263"/>
      <c r="L263"/>
      <c r="M263" s="18"/>
      <c r="N263"/>
      <c r="O263" s="13"/>
      <c r="P263" s="13"/>
      <c r="Q263" s="13"/>
      <c r="R263"/>
    </row>
    <row r="264" spans="1:18" ht="20.100000000000001" customHeight="1" x14ac:dyDescent="0.3">
      <c r="A264"/>
      <c r="B264"/>
      <c r="C264"/>
      <c r="D264"/>
      <c r="E264"/>
      <c r="F264"/>
      <c r="G264"/>
      <c r="H264"/>
      <c r="I264"/>
      <c r="J264"/>
      <c r="K264"/>
      <c r="L264"/>
      <c r="M264" s="18"/>
      <c r="N264"/>
      <c r="O264" s="13"/>
      <c r="P264" s="13"/>
      <c r="Q264" s="13"/>
      <c r="R264"/>
    </row>
    <row r="265" spans="1:18" ht="20.100000000000001" customHeight="1" x14ac:dyDescent="0.3">
      <c r="A265"/>
      <c r="B265"/>
      <c r="C265"/>
      <c r="D265"/>
      <c r="E265"/>
      <c r="F265"/>
      <c r="G265"/>
      <c r="H265"/>
      <c r="I265"/>
      <c r="J265"/>
      <c r="K265"/>
      <c r="L265"/>
      <c r="M265" s="18"/>
      <c r="N265"/>
      <c r="O265" s="13"/>
      <c r="P265" s="13"/>
      <c r="Q265" s="13"/>
      <c r="R265"/>
    </row>
    <row r="266" spans="1:18" ht="20.100000000000001" customHeight="1" x14ac:dyDescent="0.3">
      <c r="A266"/>
      <c r="B266"/>
      <c r="C266"/>
      <c r="D266"/>
      <c r="E266"/>
      <c r="F266"/>
      <c r="G266"/>
      <c r="H266"/>
      <c r="I266"/>
      <c r="J266"/>
      <c r="K266"/>
      <c r="L266"/>
      <c r="M266" s="18"/>
      <c r="N266"/>
      <c r="O266" s="13"/>
      <c r="P266" s="13"/>
      <c r="Q266" s="13"/>
      <c r="R266"/>
    </row>
    <row r="267" spans="1:18" ht="20.100000000000001" customHeight="1" x14ac:dyDescent="0.3">
      <c r="A267"/>
      <c r="B267"/>
      <c r="C267"/>
      <c r="D267"/>
      <c r="E267"/>
      <c r="F267"/>
      <c r="G267"/>
      <c r="H267"/>
      <c r="I267"/>
      <c r="J267"/>
      <c r="K267"/>
      <c r="L267"/>
      <c r="M267" s="18"/>
      <c r="N267"/>
      <c r="O267" s="13"/>
      <c r="P267" s="13"/>
      <c r="Q267" s="13"/>
      <c r="R267"/>
    </row>
    <row r="268" spans="1:18" ht="20.100000000000001" customHeight="1" x14ac:dyDescent="0.3">
      <c r="A268"/>
      <c r="B268"/>
      <c r="C268"/>
      <c r="D268"/>
      <c r="E268"/>
      <c r="F268"/>
      <c r="G268"/>
      <c r="H268"/>
      <c r="I268"/>
      <c r="J268"/>
      <c r="K268"/>
      <c r="L268"/>
      <c r="M268" s="18"/>
      <c r="N268"/>
      <c r="O268" s="13"/>
      <c r="P268" s="13"/>
      <c r="Q268" s="13"/>
      <c r="R268"/>
    </row>
    <row r="269" spans="1:18" ht="20.100000000000001" customHeight="1" x14ac:dyDescent="0.3">
      <c r="A269"/>
      <c r="B269"/>
      <c r="C269"/>
      <c r="D269"/>
      <c r="E269"/>
      <c r="F269"/>
      <c r="G269"/>
      <c r="H269"/>
      <c r="I269"/>
      <c r="J269"/>
      <c r="K269"/>
      <c r="L269"/>
      <c r="M269" s="18"/>
      <c r="N269"/>
      <c r="O269" s="13"/>
      <c r="P269" s="13"/>
      <c r="Q269" s="13"/>
      <c r="R269"/>
    </row>
    <row r="270" spans="1:18" ht="20.100000000000001" customHeight="1" x14ac:dyDescent="0.3">
      <c r="A270"/>
      <c r="B270"/>
      <c r="C270"/>
      <c r="D270"/>
      <c r="E270"/>
      <c r="F270"/>
      <c r="G270"/>
      <c r="H270"/>
      <c r="I270"/>
      <c r="J270"/>
      <c r="K270"/>
      <c r="L270"/>
      <c r="M270" s="18"/>
      <c r="N270"/>
      <c r="O270" s="13"/>
      <c r="P270" s="13"/>
      <c r="Q270" s="13"/>
      <c r="R270"/>
    </row>
    <row r="271" spans="1:18" ht="20.100000000000001" customHeight="1" x14ac:dyDescent="0.3">
      <c r="A271"/>
      <c r="B271"/>
      <c r="C271"/>
      <c r="D271"/>
      <c r="E271"/>
      <c r="F271"/>
      <c r="G271"/>
      <c r="H271"/>
      <c r="I271"/>
      <c r="J271"/>
      <c r="K271"/>
      <c r="L271"/>
      <c r="M271" s="18"/>
      <c r="N271"/>
      <c r="O271" s="13"/>
      <c r="P271" s="13"/>
      <c r="Q271" s="13"/>
      <c r="R271"/>
    </row>
    <row r="272" spans="1:18" ht="20.100000000000001" customHeight="1" x14ac:dyDescent="0.3">
      <c r="A272"/>
      <c r="B272"/>
      <c r="C272"/>
      <c r="D272"/>
      <c r="E272"/>
      <c r="F272"/>
      <c r="G272"/>
      <c r="H272"/>
      <c r="I272"/>
      <c r="J272"/>
      <c r="K272"/>
      <c r="L272"/>
      <c r="M272" s="18"/>
      <c r="N272"/>
      <c r="O272" s="13"/>
      <c r="P272" s="13"/>
      <c r="Q272" s="13"/>
      <c r="R272"/>
    </row>
    <row r="273" spans="1:18" ht="20.100000000000001" customHeight="1" x14ac:dyDescent="0.3">
      <c r="A273"/>
      <c r="B273"/>
      <c r="C273"/>
      <c r="D273"/>
      <c r="E273"/>
      <c r="F273"/>
      <c r="G273"/>
      <c r="H273"/>
      <c r="I273"/>
      <c r="J273"/>
      <c r="K273"/>
      <c r="L273"/>
      <c r="M273" s="18"/>
      <c r="N273"/>
      <c r="O273" s="13"/>
      <c r="P273" s="13"/>
      <c r="Q273" s="13"/>
      <c r="R273"/>
    </row>
    <row r="274" spans="1:18" ht="20.100000000000001" customHeight="1" x14ac:dyDescent="0.3">
      <c r="A274"/>
      <c r="B274"/>
      <c r="C274"/>
      <c r="D274"/>
      <c r="E274"/>
      <c r="F274"/>
      <c r="G274"/>
      <c r="H274"/>
      <c r="I274"/>
      <c r="J274"/>
      <c r="K274"/>
      <c r="L274"/>
      <c r="M274" s="18"/>
      <c r="N274"/>
      <c r="O274" s="13"/>
      <c r="P274" s="13"/>
      <c r="Q274" s="13"/>
      <c r="R274"/>
    </row>
    <row r="275" spans="1:18" ht="20.100000000000001" customHeight="1" x14ac:dyDescent="0.3">
      <c r="A275"/>
      <c r="B275"/>
      <c r="C275"/>
      <c r="D275"/>
      <c r="E275"/>
      <c r="F275"/>
      <c r="G275"/>
      <c r="H275"/>
      <c r="I275"/>
      <c r="J275"/>
      <c r="K275"/>
      <c r="L275"/>
      <c r="M275" s="18"/>
      <c r="N275"/>
      <c r="O275" s="13"/>
      <c r="P275" s="13"/>
      <c r="Q275" s="13"/>
      <c r="R275"/>
    </row>
    <row r="276" spans="1:18" ht="20.100000000000001" customHeight="1" x14ac:dyDescent="0.3">
      <c r="A276"/>
      <c r="B276"/>
      <c r="C276"/>
      <c r="D276"/>
      <c r="E276"/>
      <c r="F276"/>
      <c r="G276"/>
      <c r="H276"/>
      <c r="I276"/>
      <c r="J276"/>
      <c r="K276"/>
      <c r="L276"/>
      <c r="M276" s="18"/>
      <c r="N276"/>
      <c r="O276" s="13"/>
      <c r="P276" s="13"/>
      <c r="Q276" s="13"/>
      <c r="R276"/>
    </row>
    <row r="277" spans="1:18" ht="20.100000000000001" customHeight="1" x14ac:dyDescent="0.3">
      <c r="A277"/>
      <c r="B277"/>
      <c r="C277"/>
      <c r="D277"/>
      <c r="E277"/>
      <c r="F277"/>
      <c r="G277"/>
      <c r="H277"/>
      <c r="I277"/>
      <c r="J277"/>
      <c r="K277"/>
      <c r="L277"/>
      <c r="M277" s="18"/>
      <c r="N277"/>
      <c r="O277" s="13"/>
      <c r="P277" s="13"/>
      <c r="Q277" s="13"/>
      <c r="R277"/>
    </row>
    <row r="278" spans="1:18" ht="20.100000000000001" customHeight="1" x14ac:dyDescent="0.3">
      <c r="A278"/>
      <c r="B278"/>
      <c r="C278"/>
      <c r="D278"/>
      <c r="E278"/>
      <c r="F278"/>
      <c r="G278"/>
      <c r="H278"/>
      <c r="I278"/>
      <c r="J278"/>
      <c r="K278"/>
      <c r="L278"/>
      <c r="M278" s="18"/>
      <c r="N278"/>
      <c r="O278" s="13"/>
      <c r="P278" s="13"/>
      <c r="Q278" s="13"/>
      <c r="R278"/>
    </row>
    <row r="279" spans="1:18" ht="20.100000000000001" customHeight="1" x14ac:dyDescent="0.3">
      <c r="A279"/>
      <c r="B279"/>
      <c r="C279"/>
      <c r="D279"/>
      <c r="E279"/>
      <c r="F279"/>
      <c r="G279"/>
      <c r="H279"/>
      <c r="I279"/>
      <c r="J279"/>
      <c r="K279"/>
      <c r="L279"/>
      <c r="M279" s="18"/>
      <c r="N279"/>
      <c r="O279" s="13"/>
      <c r="P279" s="13"/>
      <c r="Q279" s="13"/>
      <c r="R279"/>
    </row>
    <row r="280" spans="1:18" ht="20.100000000000001" customHeight="1" x14ac:dyDescent="0.3">
      <c r="A280"/>
      <c r="B280"/>
      <c r="C280"/>
      <c r="D280"/>
      <c r="E280"/>
      <c r="F280"/>
      <c r="G280"/>
      <c r="H280"/>
      <c r="I280"/>
      <c r="J280"/>
      <c r="K280"/>
      <c r="L280"/>
      <c r="M280" s="18"/>
      <c r="N280"/>
      <c r="O280" s="13"/>
      <c r="P280" s="13"/>
      <c r="Q280" s="13"/>
      <c r="R280"/>
    </row>
    <row r="281" spans="1:18" ht="20.100000000000001" customHeight="1" x14ac:dyDescent="0.3">
      <c r="A281"/>
      <c r="B281"/>
      <c r="C281"/>
      <c r="D281"/>
      <c r="E281"/>
      <c r="F281"/>
      <c r="G281"/>
      <c r="H281"/>
      <c r="I281"/>
      <c r="J281"/>
      <c r="K281"/>
      <c r="L281"/>
      <c r="M281" s="18"/>
      <c r="N281"/>
      <c r="O281" s="13"/>
      <c r="P281" s="13"/>
      <c r="Q281" s="13"/>
      <c r="R281"/>
    </row>
    <row r="282" spans="1:18" ht="20.100000000000001" customHeight="1" x14ac:dyDescent="0.3">
      <c r="A282"/>
      <c r="B282"/>
      <c r="C282"/>
      <c r="D282"/>
      <c r="E282"/>
      <c r="F282"/>
      <c r="G282"/>
      <c r="H282"/>
      <c r="I282"/>
      <c r="J282"/>
      <c r="K282"/>
      <c r="L282"/>
      <c r="M282" s="18"/>
      <c r="N282"/>
      <c r="O282" s="13"/>
      <c r="P282" s="13"/>
      <c r="Q282" s="13"/>
      <c r="R282"/>
    </row>
    <row r="283" spans="1:18" ht="20.100000000000001" customHeight="1" x14ac:dyDescent="0.3">
      <c r="A283"/>
      <c r="B283"/>
      <c r="C283"/>
      <c r="D283"/>
      <c r="E283"/>
      <c r="F283"/>
      <c r="G283"/>
      <c r="H283"/>
      <c r="I283"/>
      <c r="J283"/>
      <c r="K283"/>
      <c r="L283"/>
      <c r="M283" s="18"/>
      <c r="N283"/>
      <c r="O283" s="13"/>
      <c r="P283" s="13"/>
      <c r="Q283" s="13"/>
      <c r="R283"/>
    </row>
    <row r="284" spans="1:18" ht="20.100000000000001" customHeight="1" x14ac:dyDescent="0.3">
      <c r="A284"/>
      <c r="B284"/>
      <c r="C284"/>
      <c r="D284"/>
      <c r="E284"/>
      <c r="F284"/>
      <c r="G284"/>
      <c r="H284"/>
      <c r="I284"/>
      <c r="J284"/>
      <c r="K284"/>
      <c r="L284"/>
      <c r="M284" s="18"/>
      <c r="N284"/>
      <c r="O284" s="13"/>
      <c r="P284" s="13"/>
      <c r="Q284" s="13"/>
      <c r="R284"/>
    </row>
    <row r="285" spans="1:18" ht="20.100000000000001" customHeight="1" x14ac:dyDescent="0.3">
      <c r="A285"/>
      <c r="B285"/>
      <c r="C285"/>
      <c r="D285"/>
      <c r="E285"/>
      <c r="F285"/>
      <c r="G285"/>
      <c r="H285"/>
      <c r="I285"/>
      <c r="J285"/>
      <c r="K285"/>
      <c r="L285"/>
      <c r="M285" s="18"/>
      <c r="N285"/>
      <c r="O285" s="13"/>
      <c r="P285" s="13"/>
      <c r="Q285" s="13"/>
      <c r="R285"/>
    </row>
    <row r="286" spans="1:18" ht="20.100000000000001" customHeight="1" x14ac:dyDescent="0.3">
      <c r="A286"/>
      <c r="B286"/>
      <c r="C286"/>
      <c r="D286"/>
      <c r="E286"/>
      <c r="F286"/>
      <c r="G286"/>
      <c r="H286"/>
      <c r="I286"/>
      <c r="J286"/>
      <c r="K286"/>
      <c r="L286"/>
      <c r="M286" s="18"/>
      <c r="N286"/>
      <c r="O286" s="13"/>
      <c r="P286" s="13"/>
      <c r="Q286" s="13"/>
      <c r="R286"/>
    </row>
    <row r="287" spans="1:18" ht="20.100000000000001" customHeight="1" x14ac:dyDescent="0.3">
      <c r="A287"/>
      <c r="B287"/>
      <c r="C287"/>
      <c r="D287"/>
      <c r="E287"/>
      <c r="F287"/>
      <c r="G287"/>
      <c r="H287"/>
      <c r="I287"/>
      <c r="J287"/>
      <c r="K287"/>
      <c r="L287"/>
      <c r="M287" s="18"/>
      <c r="N287"/>
      <c r="O287" s="13"/>
      <c r="P287" s="13"/>
      <c r="Q287" s="13"/>
      <c r="R287"/>
    </row>
    <row r="288" spans="1:18" ht="20.100000000000001" customHeight="1" x14ac:dyDescent="0.3">
      <c r="A288"/>
      <c r="B288"/>
      <c r="C288"/>
      <c r="D288"/>
      <c r="E288"/>
      <c r="F288"/>
      <c r="G288"/>
      <c r="H288"/>
      <c r="I288"/>
      <c r="J288"/>
      <c r="K288"/>
      <c r="L288"/>
      <c r="M288" s="18"/>
      <c r="N288"/>
      <c r="O288" s="13"/>
      <c r="P288" s="13"/>
      <c r="Q288" s="13"/>
      <c r="R288"/>
    </row>
    <row r="289" spans="1:18" ht="20.100000000000001" customHeight="1" x14ac:dyDescent="0.3">
      <c r="A289"/>
      <c r="B289"/>
      <c r="C289"/>
      <c r="D289"/>
      <c r="E289"/>
      <c r="F289"/>
      <c r="G289"/>
      <c r="H289"/>
      <c r="I289"/>
      <c r="J289"/>
      <c r="K289"/>
      <c r="L289"/>
      <c r="M289" s="18"/>
      <c r="N289"/>
      <c r="O289" s="13"/>
      <c r="P289" s="13"/>
      <c r="Q289" s="13"/>
      <c r="R289"/>
    </row>
    <row r="290" spans="1:18" ht="20.100000000000001" customHeight="1" x14ac:dyDescent="0.3">
      <c r="A290"/>
      <c r="B290"/>
      <c r="C290"/>
      <c r="D290"/>
      <c r="E290"/>
      <c r="F290"/>
      <c r="G290"/>
      <c r="H290"/>
      <c r="I290"/>
      <c r="J290"/>
      <c r="K290"/>
      <c r="L290"/>
      <c r="M290" s="18"/>
      <c r="N290"/>
      <c r="O290" s="13"/>
      <c r="P290" s="13"/>
      <c r="Q290" s="13"/>
      <c r="R290"/>
    </row>
    <row r="291" spans="1:18" ht="20.100000000000001" customHeight="1" x14ac:dyDescent="0.3">
      <c r="A291"/>
      <c r="B291"/>
      <c r="C291"/>
      <c r="D291"/>
      <c r="E291"/>
      <c r="F291"/>
      <c r="G291"/>
      <c r="H291"/>
      <c r="I291"/>
      <c r="J291"/>
      <c r="K291"/>
      <c r="L291"/>
      <c r="M291" s="18"/>
      <c r="N291"/>
      <c r="O291" s="13"/>
      <c r="P291" s="13"/>
      <c r="Q291" s="13"/>
      <c r="R291"/>
    </row>
    <row r="292" spans="1:18" ht="20.100000000000001" customHeight="1" x14ac:dyDescent="0.3">
      <c r="A292"/>
      <c r="B292"/>
      <c r="C292"/>
      <c r="D292"/>
      <c r="E292"/>
      <c r="F292"/>
      <c r="G292"/>
      <c r="H292"/>
      <c r="I292"/>
      <c r="J292"/>
      <c r="K292"/>
      <c r="L292"/>
      <c r="M292" s="18"/>
      <c r="N292"/>
      <c r="O292" s="13"/>
      <c r="P292" s="13"/>
      <c r="Q292" s="13"/>
      <c r="R292"/>
    </row>
    <row r="293" spans="1:18" ht="20.100000000000001" customHeight="1" x14ac:dyDescent="0.3">
      <c r="A293"/>
      <c r="B293"/>
      <c r="C293"/>
      <c r="D293"/>
      <c r="E293"/>
      <c r="F293"/>
      <c r="G293"/>
      <c r="H293"/>
      <c r="I293"/>
      <c r="J293"/>
      <c r="K293"/>
      <c r="L293"/>
      <c r="M293" s="18"/>
      <c r="N293"/>
      <c r="O293" s="13"/>
      <c r="P293" s="13"/>
      <c r="Q293" s="13"/>
      <c r="R293"/>
    </row>
    <row r="294" spans="1:18" ht="20.100000000000001" customHeight="1" x14ac:dyDescent="0.3">
      <c r="A294"/>
      <c r="B294"/>
      <c r="C294"/>
      <c r="D294"/>
      <c r="E294"/>
      <c r="F294"/>
      <c r="G294"/>
      <c r="H294"/>
      <c r="I294"/>
      <c r="J294"/>
      <c r="K294"/>
      <c r="L294"/>
      <c r="M294" s="18"/>
      <c r="N294"/>
      <c r="O294" s="13"/>
      <c r="P294" s="13"/>
      <c r="Q294" s="13"/>
      <c r="R294"/>
    </row>
    <row r="295" spans="1:18" ht="20.100000000000001" customHeight="1" x14ac:dyDescent="0.3">
      <c r="A295"/>
      <c r="B295"/>
      <c r="C295"/>
      <c r="D295"/>
      <c r="E295"/>
      <c r="F295"/>
      <c r="G295"/>
      <c r="H295"/>
      <c r="I295"/>
      <c r="J295"/>
      <c r="K295"/>
      <c r="L295"/>
      <c r="M295" s="18"/>
      <c r="N295"/>
      <c r="O295" s="13"/>
      <c r="P295" s="13"/>
      <c r="Q295" s="13"/>
      <c r="R295"/>
    </row>
    <row r="296" spans="1:18" ht="20.100000000000001" customHeight="1" x14ac:dyDescent="0.3">
      <c r="A296"/>
      <c r="B296"/>
      <c r="C296"/>
      <c r="D296"/>
      <c r="E296"/>
      <c r="F296"/>
      <c r="G296"/>
      <c r="H296"/>
      <c r="I296"/>
      <c r="J296"/>
      <c r="K296"/>
      <c r="L296"/>
      <c r="M296" s="18"/>
      <c r="N296"/>
      <c r="O296" s="13"/>
      <c r="P296" s="13"/>
      <c r="Q296" s="13"/>
      <c r="R296"/>
    </row>
    <row r="297" spans="1:18" ht="20.100000000000001" customHeight="1" x14ac:dyDescent="0.3">
      <c r="A297"/>
      <c r="B297"/>
      <c r="C297"/>
      <c r="D297"/>
      <c r="E297"/>
      <c r="F297"/>
      <c r="G297"/>
      <c r="H297"/>
      <c r="I297"/>
      <c r="J297"/>
      <c r="K297"/>
      <c r="L297"/>
      <c r="M297" s="18"/>
      <c r="N297"/>
      <c r="O297" s="13"/>
      <c r="P297" s="13"/>
      <c r="Q297" s="13"/>
      <c r="R297"/>
    </row>
    <row r="298" spans="1:18" ht="20.100000000000001" customHeight="1" x14ac:dyDescent="0.3">
      <c r="A298"/>
      <c r="B298"/>
      <c r="C298"/>
      <c r="D298"/>
      <c r="E298"/>
      <c r="F298"/>
      <c r="G298"/>
      <c r="H298"/>
      <c r="I298"/>
      <c r="J298"/>
      <c r="K298"/>
      <c r="L298"/>
      <c r="M298" s="18"/>
      <c r="N298"/>
      <c r="O298" s="13"/>
      <c r="P298" s="13"/>
      <c r="Q298" s="13"/>
      <c r="R298"/>
    </row>
    <row r="299" spans="1:18" ht="20.100000000000001" customHeight="1" x14ac:dyDescent="0.3">
      <c r="A299"/>
      <c r="B299"/>
      <c r="C299"/>
      <c r="D299"/>
      <c r="E299"/>
      <c r="F299"/>
      <c r="G299"/>
      <c r="H299"/>
      <c r="I299"/>
      <c r="J299"/>
      <c r="K299"/>
      <c r="L299"/>
      <c r="M299" s="18"/>
      <c r="N299"/>
      <c r="O299" s="13"/>
      <c r="P299" s="13"/>
      <c r="Q299" s="13"/>
      <c r="R299"/>
    </row>
    <row r="300" spans="1:18" ht="20.100000000000001" customHeight="1" x14ac:dyDescent="0.3">
      <c r="A300"/>
      <c r="B300"/>
      <c r="C300"/>
      <c r="D300"/>
      <c r="E300"/>
      <c r="F300"/>
      <c r="G300"/>
      <c r="H300"/>
      <c r="I300"/>
      <c r="J300"/>
      <c r="K300"/>
      <c r="L300"/>
      <c r="M300" s="18"/>
      <c r="N300"/>
      <c r="O300" s="13"/>
      <c r="P300" s="13"/>
      <c r="Q300" s="13"/>
      <c r="R300"/>
    </row>
    <row r="301" spans="1:18" ht="20.100000000000001" customHeight="1" x14ac:dyDescent="0.3">
      <c r="A301"/>
      <c r="B301"/>
      <c r="C301"/>
      <c r="D301"/>
      <c r="E301"/>
      <c r="F301"/>
      <c r="G301"/>
      <c r="H301"/>
      <c r="I301"/>
      <c r="J301"/>
      <c r="K301"/>
      <c r="L301"/>
      <c r="M301" s="18"/>
      <c r="N301"/>
      <c r="O301" s="13"/>
      <c r="P301" s="13"/>
      <c r="Q301" s="13"/>
      <c r="R301"/>
    </row>
    <row r="302" spans="1:18" ht="20.100000000000001" customHeight="1" x14ac:dyDescent="0.3">
      <c r="A302"/>
      <c r="B302"/>
      <c r="C302"/>
      <c r="D302"/>
      <c r="E302"/>
      <c r="F302"/>
      <c r="G302"/>
      <c r="H302"/>
      <c r="I302"/>
      <c r="J302"/>
      <c r="K302"/>
      <c r="L302"/>
      <c r="M302" s="18"/>
      <c r="N302"/>
      <c r="O302" s="13"/>
      <c r="P302" s="13"/>
      <c r="Q302" s="13"/>
      <c r="R302"/>
    </row>
    <row r="303" spans="1:18" ht="20.100000000000001" customHeight="1" x14ac:dyDescent="0.3">
      <c r="A303"/>
      <c r="B303"/>
      <c r="C303"/>
      <c r="D303"/>
      <c r="E303"/>
      <c r="F303"/>
      <c r="G303"/>
      <c r="H303"/>
      <c r="I303"/>
      <c r="J303"/>
      <c r="K303"/>
      <c r="L303"/>
      <c r="M303" s="18"/>
      <c r="N303"/>
      <c r="O303" s="13"/>
      <c r="P303" s="13"/>
      <c r="Q303" s="13"/>
      <c r="R303"/>
    </row>
    <row r="304" spans="1:18" ht="20.100000000000001" customHeight="1" x14ac:dyDescent="0.3">
      <c r="A304"/>
      <c r="B304"/>
      <c r="C304"/>
      <c r="D304"/>
      <c r="E304"/>
      <c r="F304"/>
      <c r="G304"/>
      <c r="H304"/>
      <c r="I304"/>
      <c r="J304"/>
      <c r="K304"/>
      <c r="L304"/>
      <c r="M304" s="18"/>
      <c r="N304"/>
      <c r="O304" s="13"/>
      <c r="P304" s="13"/>
      <c r="Q304" s="13"/>
      <c r="R304"/>
    </row>
    <row r="305" spans="1:18" ht="20.100000000000001" customHeight="1" x14ac:dyDescent="0.3">
      <c r="A305"/>
      <c r="B305"/>
      <c r="C305"/>
      <c r="D305"/>
      <c r="E305"/>
      <c r="F305"/>
      <c r="G305"/>
      <c r="H305"/>
      <c r="I305"/>
      <c r="J305"/>
      <c r="K305"/>
      <c r="L305"/>
      <c r="M305" s="18"/>
      <c r="N305"/>
      <c r="O305" s="13"/>
      <c r="P305" s="13"/>
      <c r="Q305" s="13"/>
      <c r="R305"/>
    </row>
    <row r="306" spans="1:18" ht="20.100000000000001" customHeight="1" x14ac:dyDescent="0.3">
      <c r="A306"/>
      <c r="B306"/>
      <c r="C306"/>
      <c r="D306"/>
      <c r="E306"/>
      <c r="F306"/>
      <c r="G306"/>
      <c r="H306"/>
      <c r="I306"/>
      <c r="J306"/>
      <c r="K306"/>
      <c r="L306"/>
      <c r="M306" s="18"/>
      <c r="N306"/>
      <c r="O306" s="13"/>
      <c r="P306" s="13"/>
      <c r="Q306" s="13"/>
      <c r="R306"/>
    </row>
    <row r="307" spans="1:18" ht="20.100000000000001" customHeight="1" x14ac:dyDescent="0.3">
      <c r="A307"/>
      <c r="B307"/>
      <c r="C307"/>
      <c r="D307"/>
      <c r="E307"/>
      <c r="F307"/>
      <c r="G307"/>
      <c r="H307"/>
      <c r="I307"/>
      <c r="J307"/>
      <c r="K307"/>
      <c r="L307"/>
      <c r="M307" s="18"/>
      <c r="N307"/>
      <c r="O307" s="13"/>
      <c r="P307" s="13"/>
      <c r="Q307" s="13"/>
      <c r="R307"/>
    </row>
    <row r="308" spans="1:18" ht="20.100000000000001" customHeight="1" x14ac:dyDescent="0.3">
      <c r="A308"/>
      <c r="B308"/>
      <c r="C308"/>
      <c r="D308"/>
      <c r="E308"/>
      <c r="F308"/>
      <c r="G308"/>
      <c r="H308"/>
      <c r="I308"/>
      <c r="J308"/>
      <c r="K308"/>
      <c r="L308"/>
      <c r="M308" s="18"/>
      <c r="N308"/>
      <c r="O308" s="13"/>
      <c r="P308" s="13"/>
      <c r="Q308" s="13"/>
      <c r="R308"/>
    </row>
    <row r="309" spans="1:18" ht="20.100000000000001" customHeight="1" x14ac:dyDescent="0.3">
      <c r="A309"/>
      <c r="B309"/>
      <c r="C309"/>
      <c r="D309"/>
      <c r="E309"/>
      <c r="F309"/>
      <c r="G309"/>
      <c r="H309"/>
      <c r="I309"/>
      <c r="J309"/>
      <c r="K309"/>
      <c r="L309"/>
      <c r="M309" s="18"/>
      <c r="N309"/>
      <c r="O309" s="13"/>
      <c r="P309" s="13"/>
      <c r="Q309" s="13"/>
      <c r="R309"/>
    </row>
    <row r="310" spans="1:18" ht="20.100000000000001" customHeight="1" x14ac:dyDescent="0.3">
      <c r="A310"/>
      <c r="B310"/>
      <c r="C310"/>
      <c r="D310"/>
      <c r="E310"/>
      <c r="F310"/>
      <c r="G310"/>
      <c r="H310"/>
      <c r="I310"/>
      <c r="J310"/>
      <c r="K310"/>
      <c r="L310"/>
      <c r="M310" s="18"/>
      <c r="N310"/>
      <c r="O310" s="13"/>
      <c r="P310" s="13"/>
      <c r="Q310" s="13"/>
      <c r="R310"/>
    </row>
    <row r="311" spans="1:18" ht="20.100000000000001" customHeight="1" x14ac:dyDescent="0.3">
      <c r="A311"/>
      <c r="B311"/>
      <c r="C311"/>
      <c r="D311"/>
      <c r="E311"/>
      <c r="F311"/>
      <c r="G311"/>
      <c r="H311"/>
      <c r="I311"/>
      <c r="J311"/>
      <c r="K311"/>
      <c r="L311"/>
      <c r="M311" s="18"/>
      <c r="N311"/>
      <c r="O311" s="13"/>
      <c r="P311" s="13"/>
      <c r="Q311" s="13"/>
      <c r="R311"/>
    </row>
    <row r="312" spans="1:18" ht="20.100000000000001" customHeight="1" x14ac:dyDescent="0.3">
      <c r="A312"/>
      <c r="B312"/>
      <c r="C312"/>
      <c r="D312"/>
      <c r="E312"/>
      <c r="F312"/>
      <c r="G312"/>
      <c r="H312"/>
      <c r="I312"/>
      <c r="J312"/>
      <c r="K312"/>
      <c r="L312"/>
      <c r="M312" s="18"/>
      <c r="N312"/>
      <c r="O312" s="13"/>
      <c r="P312" s="13"/>
      <c r="Q312" s="13"/>
      <c r="R312"/>
    </row>
    <row r="313" spans="1:18" ht="20.100000000000001" customHeight="1" x14ac:dyDescent="0.3">
      <c r="A313"/>
      <c r="B313"/>
      <c r="C313"/>
      <c r="D313"/>
      <c r="E313"/>
      <c r="F313"/>
      <c r="G313"/>
      <c r="H313"/>
      <c r="I313"/>
      <c r="J313"/>
      <c r="K313"/>
      <c r="L313"/>
      <c r="M313" s="18"/>
      <c r="N313"/>
      <c r="O313" s="13"/>
      <c r="P313" s="13"/>
      <c r="Q313" s="13"/>
      <c r="R313"/>
    </row>
    <row r="314" spans="1:18" ht="20.100000000000001" customHeight="1" x14ac:dyDescent="0.3">
      <c r="A314"/>
      <c r="B314"/>
      <c r="C314"/>
      <c r="D314"/>
      <c r="E314"/>
      <c r="F314"/>
      <c r="G314"/>
      <c r="H314"/>
      <c r="I314"/>
      <c r="J314"/>
      <c r="K314"/>
      <c r="L314"/>
      <c r="M314" s="18"/>
      <c r="N314"/>
      <c r="O314" s="13"/>
      <c r="P314" s="13"/>
      <c r="Q314" s="13"/>
      <c r="R314"/>
    </row>
    <row r="315" spans="1:18" ht="20.100000000000001" customHeight="1" x14ac:dyDescent="0.3">
      <c r="A315"/>
      <c r="B315"/>
      <c r="C315"/>
      <c r="D315"/>
      <c r="E315"/>
      <c r="F315"/>
      <c r="G315"/>
      <c r="H315"/>
      <c r="I315"/>
      <c r="J315"/>
      <c r="K315"/>
      <c r="L315"/>
      <c r="M315" s="18"/>
      <c r="N315"/>
      <c r="O315" s="13"/>
      <c r="P315" s="13"/>
      <c r="Q315" s="13"/>
      <c r="R315"/>
    </row>
    <row r="316" spans="1:18" ht="20.100000000000001" customHeight="1" x14ac:dyDescent="0.3">
      <c r="A316"/>
      <c r="B316"/>
      <c r="C316"/>
      <c r="D316"/>
      <c r="E316"/>
      <c r="F316"/>
      <c r="G316"/>
      <c r="H316"/>
      <c r="I316"/>
      <c r="J316"/>
      <c r="K316"/>
      <c r="L316"/>
      <c r="M316" s="18"/>
      <c r="N316"/>
      <c r="O316" s="13"/>
      <c r="P316" s="13"/>
      <c r="Q316" s="13"/>
      <c r="R316"/>
    </row>
    <row r="317" spans="1:18" ht="20.100000000000001" customHeight="1" x14ac:dyDescent="0.3">
      <c r="A317"/>
      <c r="B317"/>
      <c r="C317"/>
      <c r="D317"/>
      <c r="E317"/>
      <c r="F317"/>
      <c r="G317"/>
      <c r="H317"/>
      <c r="I317"/>
      <c r="J317"/>
      <c r="K317"/>
      <c r="L317"/>
      <c r="M317" s="18"/>
      <c r="N317"/>
      <c r="O317" s="13"/>
      <c r="P317" s="13"/>
      <c r="Q317" s="13"/>
      <c r="R317"/>
    </row>
    <row r="318" spans="1:18" ht="20.100000000000001" customHeight="1" x14ac:dyDescent="0.3">
      <c r="A318"/>
      <c r="B318"/>
      <c r="C318"/>
      <c r="D318"/>
      <c r="E318"/>
      <c r="F318"/>
      <c r="G318"/>
      <c r="H318"/>
      <c r="I318"/>
      <c r="J318"/>
      <c r="K318"/>
      <c r="L318"/>
      <c r="M318" s="18"/>
      <c r="N318"/>
      <c r="O318" s="13"/>
      <c r="P318" s="13"/>
      <c r="Q318" s="13"/>
      <c r="R318"/>
    </row>
    <row r="319" spans="1:18" ht="20.100000000000001" customHeight="1" x14ac:dyDescent="0.3">
      <c r="A319"/>
      <c r="B319"/>
      <c r="C319"/>
      <c r="D319"/>
      <c r="E319"/>
      <c r="F319"/>
      <c r="G319"/>
      <c r="H319"/>
      <c r="I319"/>
      <c r="J319"/>
      <c r="K319"/>
      <c r="L319"/>
      <c r="M319" s="18"/>
      <c r="N319"/>
      <c r="O319" s="13"/>
      <c r="P319" s="13"/>
      <c r="Q319" s="13"/>
      <c r="R319"/>
    </row>
    <row r="320" spans="1:18" ht="20.100000000000001" customHeight="1" x14ac:dyDescent="0.3">
      <c r="A320"/>
      <c r="B320"/>
      <c r="C320"/>
      <c r="D320"/>
      <c r="E320"/>
      <c r="F320"/>
      <c r="G320"/>
      <c r="H320"/>
      <c r="I320"/>
      <c r="J320"/>
      <c r="K320"/>
      <c r="L320"/>
      <c r="M320" s="18"/>
      <c r="N320"/>
      <c r="O320" s="13"/>
      <c r="P320" s="13"/>
      <c r="Q320" s="13"/>
      <c r="R320"/>
    </row>
    <row r="321" spans="1:18" ht="20.100000000000001" customHeight="1" x14ac:dyDescent="0.3">
      <c r="A321"/>
      <c r="B321"/>
      <c r="C321"/>
      <c r="D321"/>
      <c r="E321"/>
      <c r="F321"/>
      <c r="G321"/>
      <c r="H321"/>
      <c r="I321"/>
      <c r="J321"/>
      <c r="K321"/>
      <c r="L321"/>
      <c r="M321" s="18"/>
      <c r="N321"/>
      <c r="O321" s="13"/>
      <c r="P321" s="13"/>
      <c r="Q321" s="13"/>
      <c r="R321"/>
    </row>
    <row r="322" spans="1:18" ht="20.100000000000001" customHeight="1" x14ac:dyDescent="0.3">
      <c r="A322"/>
      <c r="B322"/>
      <c r="C322"/>
      <c r="D322"/>
      <c r="E322"/>
      <c r="F322"/>
      <c r="G322"/>
      <c r="H322"/>
      <c r="I322"/>
      <c r="J322"/>
      <c r="K322"/>
      <c r="L322"/>
      <c r="M322" s="18"/>
      <c r="N322"/>
      <c r="O322" s="13"/>
      <c r="P322" s="13"/>
      <c r="Q322" s="13"/>
      <c r="R322"/>
    </row>
    <row r="323" spans="1:18" ht="20.100000000000001" customHeight="1" x14ac:dyDescent="0.3">
      <c r="A323"/>
      <c r="B323"/>
      <c r="C323"/>
      <c r="D323"/>
      <c r="E323"/>
      <c r="F323"/>
      <c r="G323"/>
      <c r="H323"/>
      <c r="I323"/>
      <c r="J323"/>
      <c r="K323"/>
      <c r="L323"/>
      <c r="M323" s="18"/>
      <c r="N323"/>
      <c r="O323" s="13"/>
      <c r="P323" s="13"/>
      <c r="Q323" s="13"/>
      <c r="R323"/>
    </row>
    <row r="324" spans="1:18" ht="20.100000000000001" customHeight="1" x14ac:dyDescent="0.3">
      <c r="A324"/>
      <c r="B324"/>
      <c r="C324"/>
      <c r="D324"/>
      <c r="E324"/>
      <c r="F324"/>
      <c r="G324"/>
      <c r="H324"/>
      <c r="I324"/>
      <c r="J324"/>
      <c r="K324"/>
      <c r="L324"/>
      <c r="M324" s="18"/>
      <c r="N324"/>
      <c r="O324" s="13"/>
      <c r="P324" s="13"/>
      <c r="Q324" s="13"/>
      <c r="R324"/>
    </row>
    <row r="325" spans="1:18" ht="20.100000000000001" customHeight="1" x14ac:dyDescent="0.3">
      <c r="A325"/>
      <c r="B325"/>
      <c r="C325"/>
      <c r="D325"/>
      <c r="E325"/>
      <c r="F325"/>
      <c r="G325"/>
      <c r="H325"/>
      <c r="I325"/>
      <c r="J325"/>
      <c r="K325"/>
      <c r="L325"/>
      <c r="M325" s="18"/>
      <c r="N325"/>
      <c r="O325" s="13"/>
      <c r="P325" s="13"/>
      <c r="Q325" s="13"/>
      <c r="R325"/>
    </row>
    <row r="326" spans="1:18" ht="20.100000000000001" customHeight="1" x14ac:dyDescent="0.3">
      <c r="A326"/>
      <c r="B326"/>
      <c r="C326"/>
      <c r="D326"/>
      <c r="E326"/>
      <c r="F326"/>
      <c r="G326"/>
      <c r="H326"/>
      <c r="I326"/>
      <c r="J326"/>
      <c r="K326"/>
      <c r="L326"/>
      <c r="M326" s="18"/>
      <c r="N326"/>
      <c r="O326" s="13"/>
      <c r="P326" s="13"/>
      <c r="Q326" s="13"/>
      <c r="R326"/>
    </row>
    <row r="327" spans="1:18" ht="20.100000000000001" customHeight="1" x14ac:dyDescent="0.3">
      <c r="A327"/>
      <c r="B327"/>
      <c r="C327"/>
      <c r="D327"/>
      <c r="E327"/>
      <c r="F327"/>
      <c r="G327"/>
      <c r="H327"/>
      <c r="I327"/>
      <c r="J327"/>
      <c r="K327"/>
      <c r="L327"/>
      <c r="M327" s="18"/>
      <c r="N327"/>
      <c r="O327" s="13"/>
      <c r="P327" s="13"/>
      <c r="Q327" s="13"/>
      <c r="R327"/>
    </row>
    <row r="328" spans="1:18" ht="20.100000000000001" customHeight="1" x14ac:dyDescent="0.3">
      <c r="A328"/>
      <c r="B328"/>
      <c r="C328"/>
      <c r="D328"/>
      <c r="E328"/>
      <c r="F328"/>
      <c r="G328"/>
      <c r="H328"/>
      <c r="I328"/>
      <c r="J328"/>
      <c r="K328"/>
      <c r="L328"/>
      <c r="M328" s="18"/>
      <c r="N328"/>
      <c r="O328" s="13"/>
      <c r="P328" s="13"/>
      <c r="Q328" s="13"/>
      <c r="R328"/>
    </row>
    <row r="329" spans="1:18" ht="20.100000000000001" customHeight="1" x14ac:dyDescent="0.3">
      <c r="A329"/>
      <c r="B329"/>
      <c r="C329"/>
      <c r="D329"/>
      <c r="E329"/>
      <c r="F329"/>
      <c r="G329"/>
      <c r="H329"/>
      <c r="I329"/>
      <c r="J329"/>
      <c r="K329"/>
      <c r="L329"/>
      <c r="M329" s="18"/>
      <c r="N329"/>
      <c r="O329" s="13"/>
      <c r="P329" s="13"/>
      <c r="Q329" s="13"/>
      <c r="R329"/>
    </row>
    <row r="330" spans="1:18" ht="20.100000000000001" customHeight="1" x14ac:dyDescent="0.3">
      <c r="A330"/>
      <c r="B330"/>
      <c r="C330"/>
      <c r="D330"/>
      <c r="E330"/>
      <c r="F330"/>
      <c r="G330"/>
      <c r="H330"/>
      <c r="I330"/>
      <c r="J330"/>
      <c r="K330"/>
      <c r="L330"/>
      <c r="M330" s="18"/>
      <c r="N330"/>
      <c r="O330" s="13"/>
      <c r="P330" s="13"/>
      <c r="Q330" s="13"/>
      <c r="R330"/>
    </row>
    <row r="331" spans="1:18" ht="20.100000000000001" customHeight="1" x14ac:dyDescent="0.3">
      <c r="A331"/>
      <c r="B331"/>
      <c r="C331"/>
      <c r="D331"/>
      <c r="E331"/>
      <c r="F331"/>
      <c r="G331"/>
      <c r="H331"/>
      <c r="I331"/>
      <c r="J331"/>
      <c r="K331"/>
      <c r="L331"/>
      <c r="M331" s="18"/>
      <c r="N331"/>
      <c r="O331" s="13"/>
      <c r="P331" s="13"/>
      <c r="Q331" s="13"/>
      <c r="R331"/>
    </row>
    <row r="332" spans="1:18" ht="20.100000000000001" customHeight="1" x14ac:dyDescent="0.3">
      <c r="A332"/>
      <c r="B332"/>
      <c r="C332"/>
      <c r="D332"/>
      <c r="E332"/>
      <c r="F332"/>
      <c r="G332"/>
      <c r="H332"/>
      <c r="I332"/>
      <c r="J332"/>
      <c r="K332"/>
      <c r="L332"/>
      <c r="M332" s="18"/>
      <c r="N332"/>
      <c r="O332" s="13"/>
      <c r="P332" s="13"/>
      <c r="Q332" s="13"/>
      <c r="R332"/>
    </row>
    <row r="333" spans="1:18" ht="20.100000000000001" customHeight="1" x14ac:dyDescent="0.3">
      <c r="A333"/>
      <c r="B333"/>
      <c r="C333"/>
      <c r="D333"/>
      <c r="E333"/>
      <c r="F333"/>
      <c r="G333"/>
      <c r="H333"/>
      <c r="I333"/>
      <c r="J333"/>
      <c r="K333"/>
      <c r="L333"/>
      <c r="M333" s="18"/>
      <c r="N333"/>
      <c r="O333" s="13"/>
      <c r="P333" s="13"/>
      <c r="Q333" s="13"/>
      <c r="R333"/>
    </row>
    <row r="334" spans="1:18" ht="20.100000000000001" customHeight="1" x14ac:dyDescent="0.3">
      <c r="A334"/>
      <c r="B334"/>
      <c r="C334"/>
      <c r="D334"/>
      <c r="E334"/>
      <c r="F334"/>
      <c r="G334"/>
      <c r="H334"/>
      <c r="I334"/>
      <c r="J334"/>
      <c r="K334"/>
      <c r="L334"/>
      <c r="M334" s="18"/>
      <c r="N334"/>
      <c r="O334" s="13"/>
      <c r="P334" s="13"/>
      <c r="Q334" s="13"/>
      <c r="R334"/>
    </row>
    <row r="335" spans="1:18" ht="20.100000000000001" customHeight="1" x14ac:dyDescent="0.3">
      <c r="A335"/>
      <c r="B335"/>
      <c r="C335"/>
      <c r="D335"/>
      <c r="E335"/>
      <c r="F335"/>
      <c r="G335"/>
      <c r="H335"/>
      <c r="I335"/>
      <c r="J335"/>
      <c r="K335"/>
      <c r="L335"/>
      <c r="M335" s="18"/>
      <c r="N335"/>
      <c r="O335" s="13"/>
      <c r="P335" s="13"/>
      <c r="Q335" s="13"/>
      <c r="R335"/>
    </row>
    <row r="336" spans="1:18" ht="20.100000000000001" customHeight="1" x14ac:dyDescent="0.3">
      <c r="A336"/>
      <c r="B336"/>
      <c r="C336"/>
      <c r="D336"/>
      <c r="E336"/>
      <c r="F336"/>
      <c r="G336"/>
      <c r="H336"/>
      <c r="I336"/>
      <c r="J336"/>
      <c r="K336"/>
      <c r="L336"/>
      <c r="M336" s="18"/>
      <c r="N336"/>
      <c r="O336" s="13"/>
      <c r="P336" s="13"/>
      <c r="Q336" s="13"/>
      <c r="R336"/>
    </row>
    <row r="337" spans="1:18" ht="20.100000000000001" customHeight="1" x14ac:dyDescent="0.3">
      <c r="A337"/>
      <c r="B337"/>
      <c r="C337"/>
      <c r="D337"/>
      <c r="E337"/>
      <c r="F337"/>
      <c r="G337"/>
      <c r="H337"/>
      <c r="I337"/>
      <c r="J337"/>
      <c r="K337"/>
      <c r="L337"/>
      <c r="M337" s="18"/>
      <c r="N337"/>
      <c r="O337" s="13"/>
      <c r="P337" s="13"/>
      <c r="Q337" s="13"/>
      <c r="R337"/>
    </row>
    <row r="338" spans="1:18" ht="20.100000000000001" customHeight="1" x14ac:dyDescent="0.3">
      <c r="A338"/>
      <c r="B338"/>
      <c r="C338"/>
      <c r="D338"/>
      <c r="E338"/>
      <c r="F338"/>
      <c r="G338"/>
      <c r="H338"/>
      <c r="I338"/>
      <c r="J338"/>
      <c r="K338"/>
      <c r="L338"/>
      <c r="M338" s="18"/>
      <c r="N338"/>
      <c r="O338" s="13"/>
      <c r="P338" s="13"/>
      <c r="Q338" s="13"/>
      <c r="R338"/>
    </row>
    <row r="339" spans="1:18" ht="20.100000000000001" customHeight="1" x14ac:dyDescent="0.3">
      <c r="A339"/>
      <c r="B339"/>
      <c r="C339"/>
      <c r="D339"/>
      <c r="E339"/>
      <c r="F339"/>
      <c r="G339"/>
      <c r="H339"/>
      <c r="I339"/>
      <c r="J339"/>
      <c r="K339"/>
      <c r="L339"/>
      <c r="M339" s="18"/>
      <c r="N339"/>
      <c r="O339" s="13"/>
      <c r="P339" s="13"/>
      <c r="Q339" s="13"/>
      <c r="R339"/>
    </row>
    <row r="340" spans="1:18" ht="20.100000000000001" customHeight="1" x14ac:dyDescent="0.3">
      <c r="A340"/>
      <c r="B340"/>
      <c r="C340"/>
      <c r="D340"/>
      <c r="E340"/>
      <c r="F340"/>
      <c r="G340"/>
      <c r="H340"/>
      <c r="I340"/>
      <c r="J340"/>
      <c r="K340"/>
      <c r="L340"/>
      <c r="M340" s="18"/>
      <c r="N340"/>
      <c r="O340" s="13"/>
      <c r="P340" s="13"/>
      <c r="Q340" s="13"/>
      <c r="R340"/>
    </row>
    <row r="341" spans="1:18" ht="20.100000000000001" customHeight="1" x14ac:dyDescent="0.3">
      <c r="A341"/>
      <c r="B341"/>
      <c r="C341"/>
      <c r="D341"/>
      <c r="E341"/>
      <c r="F341"/>
      <c r="G341"/>
      <c r="H341"/>
      <c r="I341"/>
      <c r="J341"/>
      <c r="K341"/>
      <c r="L341"/>
      <c r="M341" s="18"/>
      <c r="N341"/>
      <c r="O341" s="13"/>
      <c r="P341" s="13"/>
      <c r="Q341" s="13"/>
      <c r="R341"/>
    </row>
    <row r="342" spans="1:18" ht="20.100000000000001" customHeight="1" x14ac:dyDescent="0.3">
      <c r="A342"/>
      <c r="B342"/>
      <c r="C342"/>
      <c r="D342"/>
      <c r="E342"/>
      <c r="F342"/>
      <c r="G342"/>
      <c r="H342"/>
      <c r="I342"/>
      <c r="J342"/>
      <c r="K342"/>
      <c r="L342"/>
      <c r="M342" s="18"/>
      <c r="N342"/>
      <c r="O342" s="13"/>
      <c r="P342" s="13"/>
      <c r="Q342" s="13"/>
      <c r="R342"/>
    </row>
    <row r="343" spans="1:18" ht="20.100000000000001" customHeight="1" x14ac:dyDescent="0.3">
      <c r="A343"/>
      <c r="B343"/>
      <c r="C343"/>
      <c r="D343"/>
      <c r="E343"/>
      <c r="F343"/>
      <c r="G343"/>
      <c r="H343"/>
      <c r="I343"/>
      <c r="J343"/>
      <c r="K343"/>
      <c r="L343"/>
      <c r="M343" s="18"/>
      <c r="N343"/>
      <c r="O343" s="13"/>
      <c r="P343" s="13"/>
      <c r="Q343" s="13"/>
      <c r="R343"/>
    </row>
    <row r="344" spans="1:18" ht="20.100000000000001" customHeight="1" x14ac:dyDescent="0.3">
      <c r="A344"/>
      <c r="B344"/>
      <c r="C344"/>
      <c r="D344"/>
      <c r="E344"/>
      <c r="F344"/>
      <c r="G344"/>
      <c r="H344"/>
      <c r="I344"/>
      <c r="J344"/>
      <c r="K344"/>
      <c r="L344"/>
      <c r="M344" s="18"/>
      <c r="N344"/>
      <c r="O344" s="13"/>
      <c r="P344" s="13"/>
      <c r="Q344" s="13"/>
      <c r="R344"/>
    </row>
    <row r="345" spans="1:18" ht="20.100000000000001" customHeight="1" x14ac:dyDescent="0.3">
      <c r="A345"/>
      <c r="B345"/>
      <c r="C345"/>
      <c r="D345"/>
      <c r="E345"/>
      <c r="F345"/>
      <c r="G345"/>
      <c r="H345"/>
      <c r="I345"/>
      <c r="J345"/>
      <c r="K345"/>
      <c r="L345"/>
      <c r="M345" s="18"/>
      <c r="N345"/>
      <c r="O345" s="13"/>
      <c r="P345" s="13"/>
      <c r="Q345" s="13"/>
      <c r="R345"/>
    </row>
    <row r="346" spans="1:18" ht="20.100000000000001" customHeight="1" x14ac:dyDescent="0.3">
      <c r="A346"/>
      <c r="B346"/>
      <c r="C346"/>
      <c r="D346"/>
      <c r="E346"/>
      <c r="F346"/>
      <c r="G346"/>
      <c r="H346"/>
      <c r="I346"/>
      <c r="J346"/>
      <c r="K346"/>
      <c r="L346"/>
      <c r="M346" s="18"/>
      <c r="N346"/>
      <c r="O346" s="13"/>
      <c r="P346" s="13"/>
      <c r="Q346" s="13"/>
      <c r="R346"/>
    </row>
    <row r="347" spans="1:18" ht="20.100000000000001" customHeight="1" x14ac:dyDescent="0.3">
      <c r="A347"/>
      <c r="B347"/>
      <c r="C347"/>
      <c r="D347"/>
      <c r="E347"/>
      <c r="F347"/>
      <c r="G347"/>
      <c r="H347"/>
      <c r="I347"/>
      <c r="J347"/>
      <c r="K347"/>
      <c r="L347"/>
      <c r="M347" s="18"/>
      <c r="N347"/>
      <c r="O347" s="13"/>
      <c r="P347" s="13"/>
      <c r="Q347" s="13"/>
      <c r="R347"/>
    </row>
    <row r="348" spans="1:18" ht="20.100000000000001" customHeight="1" x14ac:dyDescent="0.3">
      <c r="A348"/>
      <c r="B348"/>
      <c r="C348"/>
      <c r="D348"/>
      <c r="E348"/>
      <c r="F348"/>
      <c r="G348"/>
      <c r="H348"/>
      <c r="I348"/>
      <c r="J348"/>
      <c r="K348"/>
      <c r="L348"/>
      <c r="M348" s="18"/>
      <c r="N348"/>
      <c r="O348" s="13"/>
      <c r="P348" s="13"/>
      <c r="Q348" s="13"/>
      <c r="R348"/>
    </row>
    <row r="349" spans="1:18" ht="20.100000000000001" customHeight="1" x14ac:dyDescent="0.3">
      <c r="A349"/>
      <c r="B349"/>
      <c r="C349"/>
      <c r="D349"/>
      <c r="E349"/>
      <c r="F349"/>
      <c r="G349"/>
      <c r="H349"/>
      <c r="I349"/>
      <c r="J349"/>
      <c r="K349"/>
      <c r="L349"/>
      <c r="M349" s="18"/>
      <c r="N349"/>
      <c r="O349" s="13"/>
      <c r="P349" s="13"/>
      <c r="Q349" s="13"/>
      <c r="R349"/>
    </row>
    <row r="350" spans="1:18" ht="20.100000000000001" customHeight="1" x14ac:dyDescent="0.3">
      <c r="A350"/>
      <c r="B350"/>
      <c r="C350"/>
      <c r="D350"/>
      <c r="E350"/>
      <c r="F350"/>
      <c r="G350"/>
      <c r="H350"/>
      <c r="I350"/>
      <c r="J350"/>
      <c r="K350"/>
      <c r="L350"/>
      <c r="M350" s="18"/>
      <c r="N350"/>
      <c r="O350" s="13"/>
      <c r="P350" s="13"/>
      <c r="Q350" s="13"/>
      <c r="R350"/>
    </row>
    <row r="351" spans="1:18" ht="20.100000000000001" customHeight="1" x14ac:dyDescent="0.3">
      <c r="A351"/>
      <c r="B351"/>
      <c r="C351"/>
      <c r="D351"/>
      <c r="E351"/>
      <c r="F351"/>
      <c r="G351"/>
      <c r="H351"/>
      <c r="I351"/>
      <c r="J351"/>
      <c r="K351"/>
      <c r="L351"/>
      <c r="M351" s="18"/>
      <c r="N351"/>
      <c r="O351" s="13"/>
      <c r="P351" s="13"/>
      <c r="Q351" s="13"/>
      <c r="R351"/>
    </row>
    <row r="352" spans="1:18" ht="20.100000000000001" customHeight="1" x14ac:dyDescent="0.3">
      <c r="A352"/>
      <c r="B352"/>
      <c r="C352"/>
      <c r="D352"/>
      <c r="E352"/>
      <c r="F352"/>
      <c r="G352"/>
      <c r="H352"/>
      <c r="I352"/>
      <c r="J352"/>
      <c r="K352"/>
      <c r="L352"/>
      <c r="M352" s="18"/>
      <c r="N352"/>
      <c r="O352" s="13"/>
      <c r="P352" s="13"/>
      <c r="Q352" s="13"/>
      <c r="R352"/>
    </row>
    <row r="353" spans="1:18" ht="20.100000000000001" customHeight="1" x14ac:dyDescent="0.3">
      <c r="A353"/>
      <c r="B353"/>
      <c r="C353"/>
      <c r="D353"/>
      <c r="E353"/>
      <c r="F353"/>
      <c r="G353"/>
      <c r="H353"/>
      <c r="I353"/>
      <c r="J353"/>
      <c r="K353"/>
      <c r="L353"/>
      <c r="M353" s="18"/>
      <c r="N353"/>
      <c r="O353" s="13"/>
      <c r="P353" s="13"/>
      <c r="Q353" s="13"/>
      <c r="R353"/>
    </row>
    <row r="354" spans="1:18" ht="20.100000000000001" customHeight="1" x14ac:dyDescent="0.3">
      <c r="A354"/>
      <c r="B354"/>
      <c r="C354"/>
      <c r="D354"/>
      <c r="E354"/>
      <c r="F354"/>
      <c r="G354"/>
      <c r="H354"/>
      <c r="I354"/>
      <c r="J354"/>
      <c r="K354"/>
      <c r="L354"/>
      <c r="M354" s="18"/>
      <c r="N354"/>
      <c r="O354" s="13"/>
      <c r="P354" s="13"/>
      <c r="Q354" s="13"/>
      <c r="R354"/>
    </row>
    <row r="355" spans="1:18" ht="20.100000000000001" customHeight="1" x14ac:dyDescent="0.3">
      <c r="A355"/>
      <c r="B355"/>
      <c r="C355"/>
      <c r="D355"/>
      <c r="E355"/>
      <c r="F355"/>
      <c r="G355"/>
      <c r="H355"/>
      <c r="I355"/>
      <c r="J355"/>
      <c r="K355"/>
      <c r="L355"/>
      <c r="M355" s="18"/>
      <c r="N355"/>
      <c r="O355" s="13"/>
      <c r="P355" s="13"/>
      <c r="Q355" s="13"/>
      <c r="R355"/>
    </row>
    <row r="356" spans="1:18" ht="20.100000000000001" customHeight="1" x14ac:dyDescent="0.3">
      <c r="A356"/>
      <c r="B356"/>
      <c r="C356"/>
      <c r="D356"/>
      <c r="E356"/>
      <c r="F356"/>
      <c r="G356"/>
      <c r="H356"/>
      <c r="I356"/>
      <c r="J356"/>
      <c r="K356"/>
      <c r="L356"/>
      <c r="M356" s="18"/>
      <c r="N356"/>
      <c r="O356" s="13"/>
      <c r="P356" s="13"/>
      <c r="Q356" s="13"/>
      <c r="R356"/>
    </row>
    <row r="357" spans="1:18" ht="20.100000000000001" customHeight="1" x14ac:dyDescent="0.3">
      <c r="A357"/>
      <c r="B357"/>
      <c r="C357"/>
      <c r="D357"/>
      <c r="E357"/>
      <c r="F357"/>
      <c r="G357"/>
      <c r="H357"/>
      <c r="I357"/>
      <c r="J357"/>
      <c r="K357"/>
      <c r="L357"/>
      <c r="M357" s="18"/>
      <c r="N357"/>
      <c r="O357" s="13"/>
      <c r="P357" s="13"/>
      <c r="Q357" s="13"/>
      <c r="R357"/>
    </row>
    <row r="358" spans="1:18" ht="20.100000000000001" customHeight="1" x14ac:dyDescent="0.3">
      <c r="A358"/>
      <c r="B358"/>
      <c r="C358"/>
      <c r="D358"/>
      <c r="E358"/>
      <c r="F358"/>
      <c r="G358"/>
      <c r="H358"/>
      <c r="I358"/>
      <c r="J358"/>
      <c r="K358"/>
      <c r="L358"/>
      <c r="M358" s="18"/>
      <c r="N358"/>
      <c r="O358" s="13"/>
      <c r="P358" s="13"/>
      <c r="Q358" s="13"/>
      <c r="R358"/>
    </row>
    <row r="359" spans="1:18" ht="20.100000000000001" customHeight="1" x14ac:dyDescent="0.3">
      <c r="A359"/>
      <c r="B359"/>
      <c r="C359"/>
      <c r="D359"/>
      <c r="E359"/>
      <c r="F359"/>
      <c r="G359"/>
      <c r="H359"/>
      <c r="I359"/>
      <c r="J359"/>
      <c r="K359"/>
      <c r="L359"/>
      <c r="M359" s="18"/>
      <c r="N359"/>
      <c r="O359" s="13"/>
      <c r="P359" s="13"/>
      <c r="Q359" s="13"/>
      <c r="R359"/>
    </row>
    <row r="360" spans="1:18" ht="20.100000000000001" customHeight="1" x14ac:dyDescent="0.3">
      <c r="A360"/>
      <c r="B360"/>
      <c r="C360"/>
      <c r="D360"/>
      <c r="E360"/>
      <c r="F360"/>
      <c r="G360"/>
      <c r="H360"/>
      <c r="I360"/>
      <c r="J360"/>
      <c r="K360"/>
      <c r="L360"/>
      <c r="M360" s="18"/>
      <c r="N360"/>
      <c r="O360" s="13"/>
      <c r="P360" s="13"/>
      <c r="Q360" s="13"/>
      <c r="R360"/>
    </row>
    <row r="361" spans="1:18" ht="20.100000000000001" customHeight="1" x14ac:dyDescent="0.3">
      <c r="A361"/>
      <c r="B361"/>
      <c r="C361"/>
      <c r="D361"/>
      <c r="E361"/>
      <c r="F361"/>
      <c r="G361"/>
      <c r="H361"/>
      <c r="I361"/>
      <c r="J361"/>
      <c r="K361"/>
      <c r="L361"/>
      <c r="M361" s="18"/>
      <c r="N361"/>
      <c r="O361" s="13"/>
      <c r="P361" s="13"/>
      <c r="Q361" s="13"/>
      <c r="R361"/>
    </row>
    <row r="362" spans="1:18" ht="20.100000000000001" customHeight="1" x14ac:dyDescent="0.3">
      <c r="A362"/>
      <c r="B362"/>
      <c r="C362"/>
      <c r="D362"/>
      <c r="E362"/>
      <c r="F362"/>
      <c r="G362"/>
      <c r="H362"/>
      <c r="I362"/>
      <c r="J362"/>
      <c r="K362"/>
      <c r="L362"/>
      <c r="M362" s="18"/>
      <c r="N362"/>
      <c r="O362" s="13"/>
      <c r="P362" s="13"/>
      <c r="Q362" s="13"/>
      <c r="R362"/>
    </row>
    <row r="363" spans="1:18" ht="20.100000000000001" customHeight="1" x14ac:dyDescent="0.3">
      <c r="A363"/>
      <c r="B363"/>
      <c r="C363"/>
      <c r="D363"/>
      <c r="E363"/>
      <c r="F363"/>
      <c r="G363"/>
      <c r="H363"/>
      <c r="I363"/>
      <c r="J363"/>
      <c r="K363"/>
      <c r="L363"/>
      <c r="M363" s="18"/>
      <c r="N363"/>
      <c r="O363" s="13"/>
      <c r="P363" s="13"/>
      <c r="Q363" s="13"/>
      <c r="R363"/>
    </row>
    <row r="364" spans="1:18" ht="20.100000000000001" customHeight="1" x14ac:dyDescent="0.3">
      <c r="A364"/>
      <c r="B364"/>
      <c r="C364"/>
      <c r="D364"/>
      <c r="E364"/>
      <c r="F364"/>
      <c r="G364"/>
      <c r="H364"/>
      <c r="I364"/>
      <c r="J364"/>
      <c r="K364"/>
      <c r="L364"/>
      <c r="M364" s="18"/>
      <c r="N364"/>
      <c r="O364" s="13"/>
      <c r="P364" s="13"/>
      <c r="Q364" s="13"/>
      <c r="R364"/>
    </row>
    <row r="365" spans="1:18" ht="20.100000000000001" customHeight="1" x14ac:dyDescent="0.3">
      <c r="A365"/>
      <c r="B365"/>
      <c r="C365"/>
      <c r="D365"/>
      <c r="E365"/>
      <c r="F365"/>
      <c r="G365"/>
      <c r="H365"/>
      <c r="I365"/>
      <c r="J365"/>
      <c r="K365"/>
      <c r="L365"/>
      <c r="M365" s="18"/>
      <c r="N365"/>
      <c r="O365" s="13"/>
      <c r="P365" s="13"/>
      <c r="Q365" s="13"/>
      <c r="R365"/>
    </row>
    <row r="366" spans="1:18" ht="20.100000000000001" customHeight="1" x14ac:dyDescent="0.3">
      <c r="A366"/>
      <c r="B366"/>
      <c r="C366"/>
      <c r="D366"/>
      <c r="E366"/>
      <c r="F366"/>
      <c r="G366"/>
      <c r="H366"/>
      <c r="I366"/>
      <c r="J366"/>
      <c r="K366"/>
      <c r="L366"/>
      <c r="M366" s="18"/>
      <c r="N366"/>
      <c r="O366" s="13"/>
      <c r="P366" s="13"/>
      <c r="Q366" s="13"/>
      <c r="R366"/>
    </row>
    <row r="367" spans="1:18" ht="20.100000000000001" customHeight="1" x14ac:dyDescent="0.3">
      <c r="A367"/>
      <c r="B367"/>
      <c r="C367"/>
      <c r="D367"/>
      <c r="E367"/>
      <c r="F367"/>
      <c r="G367"/>
      <c r="H367"/>
      <c r="I367"/>
      <c r="J367"/>
      <c r="K367"/>
      <c r="L367"/>
      <c r="M367" s="18"/>
      <c r="N367"/>
      <c r="O367" s="13"/>
      <c r="P367" s="13"/>
      <c r="Q367" s="13"/>
      <c r="R367"/>
    </row>
    <row r="368" spans="1:18" ht="20.100000000000001" customHeight="1" x14ac:dyDescent="0.3">
      <c r="A368"/>
      <c r="B368"/>
      <c r="C368"/>
      <c r="D368"/>
      <c r="E368"/>
      <c r="F368"/>
      <c r="G368"/>
      <c r="H368"/>
      <c r="I368"/>
      <c r="J368"/>
      <c r="K368"/>
      <c r="L368"/>
      <c r="M368" s="18"/>
      <c r="N368"/>
      <c r="O368" s="13"/>
      <c r="P368" s="13"/>
      <c r="Q368" s="13"/>
      <c r="R368"/>
    </row>
    <row r="369" spans="1:18" ht="20.100000000000001" customHeight="1" x14ac:dyDescent="0.3">
      <c r="A369"/>
      <c r="B369"/>
      <c r="C369"/>
      <c r="D369"/>
      <c r="E369"/>
      <c r="F369"/>
      <c r="G369"/>
      <c r="H369"/>
      <c r="I369"/>
      <c r="J369"/>
      <c r="K369"/>
      <c r="L369"/>
      <c r="M369" s="18"/>
      <c r="N369"/>
      <c r="O369" s="13"/>
      <c r="P369" s="13"/>
      <c r="Q369" s="13"/>
      <c r="R369"/>
    </row>
    <row r="370" spans="1:18" ht="20.100000000000001" customHeight="1" x14ac:dyDescent="0.3">
      <c r="A370"/>
      <c r="B370"/>
      <c r="C370"/>
      <c r="D370"/>
      <c r="E370"/>
      <c r="F370"/>
      <c r="G370"/>
      <c r="H370"/>
      <c r="I370"/>
      <c r="J370"/>
      <c r="K370"/>
      <c r="L370"/>
      <c r="M370" s="18"/>
      <c r="N370"/>
      <c r="O370" s="13"/>
      <c r="P370" s="13"/>
      <c r="Q370" s="13"/>
      <c r="R370"/>
    </row>
    <row r="371" spans="1:18" ht="20.100000000000001" customHeight="1" x14ac:dyDescent="0.3">
      <c r="A371"/>
      <c r="B371"/>
      <c r="C371"/>
      <c r="D371"/>
      <c r="E371"/>
      <c r="F371"/>
      <c r="G371"/>
      <c r="H371"/>
      <c r="I371"/>
      <c r="J371"/>
      <c r="K371"/>
      <c r="L371"/>
      <c r="M371" s="18"/>
      <c r="N371"/>
      <c r="O371" s="13"/>
      <c r="P371" s="13"/>
      <c r="Q371" s="13"/>
      <c r="R371"/>
    </row>
    <row r="372" spans="1:18" ht="20.100000000000001" customHeight="1" x14ac:dyDescent="0.3">
      <c r="A372"/>
      <c r="B372"/>
      <c r="C372"/>
      <c r="D372"/>
      <c r="E372"/>
      <c r="F372"/>
      <c r="G372"/>
      <c r="H372"/>
      <c r="I372"/>
      <c r="J372"/>
      <c r="K372"/>
      <c r="L372"/>
      <c r="M372" s="18"/>
      <c r="N372"/>
      <c r="O372" s="13"/>
      <c r="P372" s="13"/>
      <c r="Q372" s="13"/>
      <c r="R372"/>
    </row>
    <row r="373" spans="1:18" ht="20.100000000000001" customHeight="1" x14ac:dyDescent="0.3">
      <c r="A373"/>
      <c r="B373"/>
      <c r="C373"/>
      <c r="D373"/>
      <c r="E373"/>
      <c r="F373"/>
      <c r="G373"/>
      <c r="H373"/>
      <c r="I373"/>
      <c r="J373"/>
      <c r="K373"/>
      <c r="L373"/>
      <c r="M373" s="18"/>
      <c r="N373"/>
      <c r="O373" s="13"/>
      <c r="P373" s="13"/>
      <c r="Q373" s="13"/>
      <c r="R373"/>
    </row>
    <row r="374" spans="1:18" ht="20.100000000000001" customHeight="1" x14ac:dyDescent="0.3">
      <c r="A374"/>
      <c r="B374"/>
      <c r="C374"/>
      <c r="D374"/>
      <c r="E374"/>
      <c r="F374"/>
      <c r="G374"/>
      <c r="H374"/>
      <c r="I374"/>
      <c r="J374"/>
      <c r="K374"/>
      <c r="L374"/>
      <c r="M374" s="18"/>
      <c r="N374"/>
      <c r="O374" s="13"/>
      <c r="P374" s="13"/>
      <c r="Q374" s="13"/>
      <c r="R374"/>
    </row>
    <row r="375" spans="1:18" ht="20.100000000000001" customHeight="1" x14ac:dyDescent="0.3">
      <c r="A375"/>
      <c r="B375"/>
      <c r="C375"/>
      <c r="D375"/>
      <c r="E375"/>
      <c r="F375"/>
      <c r="G375"/>
      <c r="H375"/>
      <c r="I375"/>
      <c r="J375"/>
      <c r="K375"/>
      <c r="L375"/>
      <c r="M375" s="18"/>
      <c r="N375"/>
      <c r="O375" s="13"/>
      <c r="P375" s="13"/>
      <c r="Q375" s="13"/>
      <c r="R375"/>
    </row>
    <row r="376" spans="1:18" ht="20.100000000000001" customHeight="1" x14ac:dyDescent="0.3">
      <c r="A376"/>
      <c r="B376"/>
      <c r="C376"/>
      <c r="D376"/>
      <c r="E376"/>
      <c r="F376"/>
      <c r="G376"/>
      <c r="H376"/>
      <c r="I376"/>
      <c r="J376"/>
      <c r="K376"/>
      <c r="L376"/>
      <c r="M376" s="18"/>
      <c r="N376"/>
      <c r="O376" s="13"/>
      <c r="P376" s="13"/>
      <c r="Q376" s="13"/>
      <c r="R376"/>
    </row>
    <row r="377" spans="1:18" ht="20.100000000000001" customHeight="1" x14ac:dyDescent="0.3">
      <c r="A377"/>
      <c r="B377"/>
      <c r="C377"/>
      <c r="D377"/>
      <c r="E377"/>
      <c r="F377"/>
      <c r="G377"/>
      <c r="H377"/>
      <c r="I377"/>
      <c r="J377"/>
      <c r="K377"/>
      <c r="L377"/>
      <c r="M377" s="18"/>
      <c r="N377"/>
      <c r="O377" s="13"/>
      <c r="P377" s="13"/>
      <c r="Q377" s="13"/>
      <c r="R377"/>
    </row>
    <row r="378" spans="1:18" ht="20.100000000000001" customHeight="1" x14ac:dyDescent="0.3">
      <c r="A378"/>
      <c r="B378"/>
      <c r="C378"/>
      <c r="D378"/>
      <c r="E378"/>
      <c r="F378"/>
      <c r="G378"/>
      <c r="H378"/>
      <c r="I378"/>
      <c r="J378"/>
      <c r="K378"/>
      <c r="L378"/>
      <c r="M378" s="18"/>
      <c r="N378"/>
      <c r="O378" s="13"/>
      <c r="P378" s="13"/>
      <c r="Q378" s="13"/>
      <c r="R378"/>
    </row>
    <row r="379" spans="1:18" ht="20.100000000000001" customHeight="1" x14ac:dyDescent="0.3">
      <c r="A379"/>
      <c r="B379"/>
      <c r="C379"/>
      <c r="D379"/>
      <c r="E379"/>
      <c r="F379"/>
      <c r="G379"/>
      <c r="H379"/>
      <c r="I379"/>
      <c r="J379"/>
      <c r="K379"/>
      <c r="L379"/>
      <c r="M379" s="18"/>
      <c r="N379"/>
      <c r="O379" s="13"/>
      <c r="P379" s="13"/>
      <c r="Q379" s="13"/>
      <c r="R379"/>
    </row>
    <row r="380" spans="1:18" ht="20.100000000000001" customHeight="1" x14ac:dyDescent="0.3">
      <c r="A380"/>
      <c r="B380"/>
      <c r="C380"/>
      <c r="D380"/>
      <c r="E380"/>
      <c r="F380"/>
      <c r="G380"/>
      <c r="H380"/>
      <c r="I380"/>
      <c r="J380"/>
      <c r="K380"/>
      <c r="L380"/>
      <c r="M380" s="18"/>
      <c r="N380"/>
      <c r="O380" s="13"/>
      <c r="P380" s="13"/>
      <c r="Q380" s="13"/>
      <c r="R380"/>
    </row>
    <row r="381" spans="1:18" ht="20.100000000000001" customHeight="1" x14ac:dyDescent="0.3">
      <c r="A381"/>
      <c r="B381"/>
      <c r="C381"/>
      <c r="D381"/>
      <c r="E381"/>
      <c r="F381"/>
      <c r="G381"/>
      <c r="H381"/>
      <c r="I381"/>
      <c r="J381"/>
      <c r="K381"/>
      <c r="L381"/>
      <c r="M381" s="18"/>
      <c r="N381"/>
      <c r="O381" s="13"/>
      <c r="P381" s="13"/>
      <c r="Q381" s="13"/>
      <c r="R381"/>
    </row>
    <row r="382" spans="1:18" ht="20.100000000000001" customHeight="1" x14ac:dyDescent="0.3">
      <c r="A382"/>
      <c r="B382"/>
      <c r="C382"/>
      <c r="D382"/>
      <c r="E382"/>
      <c r="F382"/>
      <c r="G382"/>
      <c r="H382"/>
      <c r="I382"/>
      <c r="J382"/>
      <c r="K382"/>
      <c r="L382"/>
      <c r="M382" s="18"/>
      <c r="N382"/>
      <c r="O382" s="13"/>
      <c r="P382" s="13"/>
      <c r="Q382" s="13"/>
      <c r="R382"/>
    </row>
    <row r="383" spans="1:18" ht="20.100000000000001" customHeight="1" x14ac:dyDescent="0.3">
      <c r="A383"/>
      <c r="B383"/>
      <c r="C383"/>
      <c r="D383"/>
      <c r="E383"/>
      <c r="F383"/>
      <c r="G383"/>
      <c r="H383"/>
      <c r="I383"/>
      <c r="J383"/>
      <c r="K383"/>
      <c r="L383"/>
      <c r="M383" s="18"/>
      <c r="N383"/>
      <c r="O383" s="13"/>
      <c r="P383" s="13"/>
      <c r="Q383" s="13"/>
      <c r="R383"/>
    </row>
    <row r="384" spans="1:18" ht="20.100000000000001" customHeight="1" x14ac:dyDescent="0.3">
      <c r="A384"/>
      <c r="B384"/>
      <c r="C384"/>
      <c r="D384"/>
      <c r="E384"/>
      <c r="F384"/>
      <c r="G384"/>
      <c r="H384"/>
      <c r="I384"/>
      <c r="J384"/>
      <c r="K384"/>
      <c r="L384"/>
      <c r="M384" s="18"/>
      <c r="N384"/>
      <c r="O384" s="13"/>
      <c r="P384" s="13"/>
      <c r="Q384" s="13"/>
      <c r="R384"/>
    </row>
    <row r="385" spans="1:18" ht="20.100000000000001" customHeight="1" x14ac:dyDescent="0.3">
      <c r="A385"/>
      <c r="B385"/>
      <c r="C385"/>
      <c r="D385"/>
      <c r="E385"/>
      <c r="F385"/>
      <c r="G385"/>
      <c r="H385"/>
      <c r="I385"/>
      <c r="J385"/>
      <c r="K385"/>
      <c r="L385"/>
      <c r="M385" s="18"/>
      <c r="N385"/>
      <c r="O385" s="13"/>
      <c r="P385" s="13"/>
      <c r="Q385" s="13"/>
      <c r="R385"/>
    </row>
    <row r="386" spans="1:18" ht="20.100000000000001" customHeight="1" x14ac:dyDescent="0.3">
      <c r="A386"/>
      <c r="B386"/>
      <c r="C386"/>
      <c r="D386"/>
      <c r="E386"/>
      <c r="F386"/>
      <c r="G386"/>
      <c r="H386"/>
      <c r="I386"/>
      <c r="J386"/>
      <c r="K386"/>
      <c r="L386"/>
      <c r="M386" s="18"/>
      <c r="N386"/>
      <c r="O386" s="13"/>
      <c r="P386" s="13"/>
      <c r="Q386" s="13"/>
      <c r="R386"/>
    </row>
    <row r="387" spans="1:18" ht="20.100000000000001" customHeight="1" x14ac:dyDescent="0.3">
      <c r="A387"/>
      <c r="B387"/>
      <c r="C387"/>
      <c r="D387"/>
      <c r="E387"/>
      <c r="F387"/>
      <c r="G387"/>
      <c r="H387"/>
      <c r="I387"/>
      <c r="J387"/>
      <c r="K387"/>
      <c r="L387"/>
      <c r="M387" s="18"/>
      <c r="N387"/>
      <c r="O387" s="13"/>
      <c r="P387" s="13"/>
      <c r="Q387" s="13"/>
      <c r="R387"/>
    </row>
    <row r="388" spans="1:18" ht="20.100000000000001" customHeight="1" x14ac:dyDescent="0.3">
      <c r="A388"/>
      <c r="B388"/>
      <c r="C388"/>
      <c r="D388"/>
      <c r="E388"/>
      <c r="F388"/>
      <c r="G388"/>
      <c r="H388"/>
      <c r="I388"/>
      <c r="J388"/>
      <c r="K388"/>
      <c r="L388"/>
      <c r="M388" s="18"/>
      <c r="N388"/>
      <c r="O388" s="13"/>
      <c r="P388" s="13"/>
      <c r="Q388" s="13"/>
      <c r="R388"/>
    </row>
    <row r="389" spans="1:18" ht="20.100000000000001" customHeight="1" x14ac:dyDescent="0.3">
      <c r="A389"/>
      <c r="B389"/>
      <c r="C389"/>
      <c r="D389"/>
      <c r="E389"/>
      <c r="F389"/>
      <c r="G389"/>
      <c r="H389"/>
      <c r="I389"/>
      <c r="J389"/>
      <c r="K389"/>
      <c r="L389"/>
      <c r="M389" s="18"/>
      <c r="N389"/>
      <c r="O389" s="13"/>
      <c r="P389" s="13"/>
      <c r="Q389" s="13"/>
      <c r="R389"/>
    </row>
    <row r="390" spans="1:18" ht="20.100000000000001" customHeight="1" x14ac:dyDescent="0.3">
      <c r="A390"/>
      <c r="B390"/>
      <c r="C390"/>
      <c r="D390"/>
      <c r="E390"/>
      <c r="F390"/>
      <c r="G390"/>
      <c r="H390"/>
      <c r="I390"/>
      <c r="J390"/>
      <c r="K390"/>
      <c r="L390"/>
      <c r="M390" s="18"/>
      <c r="N390"/>
      <c r="O390" s="13"/>
      <c r="P390" s="13"/>
      <c r="Q390" s="13"/>
      <c r="R390"/>
    </row>
    <row r="391" spans="1:18" ht="20.100000000000001" customHeight="1" x14ac:dyDescent="0.3">
      <c r="A391"/>
      <c r="B391"/>
      <c r="C391"/>
      <c r="D391"/>
      <c r="E391"/>
      <c r="F391"/>
      <c r="G391"/>
      <c r="H391"/>
      <c r="I391"/>
      <c r="J391"/>
      <c r="K391"/>
      <c r="L391"/>
      <c r="M391" s="18"/>
      <c r="N391"/>
      <c r="O391" s="13"/>
      <c r="P391" s="13"/>
      <c r="Q391" s="13"/>
      <c r="R391"/>
    </row>
    <row r="392" spans="1:18" ht="20.100000000000001" customHeight="1" x14ac:dyDescent="0.3">
      <c r="A392"/>
      <c r="B392"/>
      <c r="C392"/>
      <c r="D392"/>
      <c r="E392"/>
      <c r="F392"/>
      <c r="G392"/>
      <c r="H392"/>
      <c r="I392"/>
      <c r="J392"/>
      <c r="K392"/>
      <c r="L392"/>
      <c r="M392" s="18"/>
      <c r="N392"/>
      <c r="O392" s="13"/>
      <c r="P392" s="13"/>
      <c r="Q392" s="13"/>
      <c r="R392"/>
    </row>
    <row r="393" spans="1:18" ht="20.100000000000001" customHeight="1" x14ac:dyDescent="0.3">
      <c r="A393"/>
      <c r="B393"/>
      <c r="C393"/>
      <c r="D393"/>
      <c r="E393"/>
      <c r="F393"/>
      <c r="G393"/>
      <c r="H393"/>
      <c r="I393"/>
      <c r="J393"/>
      <c r="K393"/>
      <c r="L393"/>
      <c r="M393" s="18"/>
      <c r="N393"/>
      <c r="O393" s="13"/>
      <c r="P393" s="13"/>
      <c r="Q393" s="13"/>
      <c r="R393"/>
    </row>
    <row r="394" spans="1:18" ht="20.100000000000001" customHeight="1" x14ac:dyDescent="0.3">
      <c r="A394"/>
      <c r="B394"/>
      <c r="C394"/>
      <c r="D394"/>
      <c r="E394"/>
      <c r="F394"/>
      <c r="G394"/>
      <c r="H394"/>
      <c r="I394"/>
      <c r="J394"/>
      <c r="K394"/>
      <c r="L394"/>
      <c r="M394" s="18"/>
      <c r="N394"/>
      <c r="O394" s="13"/>
      <c r="P394" s="13"/>
      <c r="Q394" s="13"/>
      <c r="R394"/>
    </row>
    <row r="395" spans="1:18" ht="20.100000000000001" customHeight="1" x14ac:dyDescent="0.3">
      <c r="A395"/>
      <c r="B395"/>
      <c r="C395"/>
      <c r="D395"/>
      <c r="E395"/>
      <c r="F395"/>
      <c r="G395"/>
      <c r="H395"/>
      <c r="I395"/>
      <c r="J395"/>
      <c r="K395"/>
      <c r="L395"/>
      <c r="M395" s="18"/>
      <c r="N395"/>
      <c r="O395" s="13"/>
      <c r="P395" s="13"/>
      <c r="Q395" s="13"/>
      <c r="R395"/>
    </row>
    <row r="396" spans="1:18" ht="20.100000000000001" customHeight="1" x14ac:dyDescent="0.3">
      <c r="A396"/>
      <c r="B396"/>
      <c r="C396"/>
      <c r="D396"/>
      <c r="E396"/>
      <c r="F396"/>
      <c r="G396"/>
      <c r="H396"/>
      <c r="I396"/>
      <c r="J396"/>
      <c r="K396"/>
      <c r="L396"/>
      <c r="M396" s="18"/>
      <c r="N396"/>
      <c r="O396" s="13"/>
      <c r="P396" s="13"/>
      <c r="Q396" s="13"/>
      <c r="R396"/>
    </row>
    <row r="397" spans="1:18" ht="20.100000000000001" customHeight="1" x14ac:dyDescent="0.3">
      <c r="A397"/>
      <c r="B397"/>
      <c r="C397"/>
      <c r="D397"/>
      <c r="E397"/>
      <c r="F397"/>
      <c r="G397"/>
      <c r="H397"/>
      <c r="I397"/>
      <c r="J397"/>
      <c r="K397"/>
      <c r="L397"/>
      <c r="M397" s="18"/>
      <c r="N397"/>
      <c r="O397" s="13"/>
      <c r="P397" s="13"/>
      <c r="Q397" s="13"/>
      <c r="R397"/>
    </row>
    <row r="398" spans="1:18" ht="20.100000000000001" customHeight="1" x14ac:dyDescent="0.3">
      <c r="A398"/>
      <c r="B398"/>
      <c r="C398"/>
      <c r="D398"/>
      <c r="E398"/>
      <c r="F398"/>
      <c r="G398"/>
      <c r="H398"/>
      <c r="I398"/>
      <c r="J398"/>
      <c r="K398"/>
      <c r="L398"/>
      <c r="M398" s="18"/>
      <c r="N398"/>
      <c r="O398" s="13"/>
      <c r="P398" s="13"/>
      <c r="Q398" s="13"/>
      <c r="R398"/>
    </row>
    <row r="399" spans="1:18" ht="20.100000000000001" customHeight="1" x14ac:dyDescent="0.3">
      <c r="A399"/>
      <c r="B399"/>
      <c r="C399"/>
      <c r="D399"/>
      <c r="E399"/>
      <c r="F399"/>
      <c r="G399"/>
      <c r="H399"/>
      <c r="I399"/>
      <c r="J399"/>
      <c r="K399"/>
      <c r="L399"/>
      <c r="M399" s="18"/>
      <c r="N399"/>
      <c r="O399" s="13"/>
      <c r="P399" s="13"/>
      <c r="Q399" s="13"/>
      <c r="R399"/>
    </row>
    <row r="400" spans="1:18" ht="20.100000000000001" customHeight="1" x14ac:dyDescent="0.3">
      <c r="A400"/>
      <c r="B400"/>
      <c r="C400"/>
      <c r="D400"/>
      <c r="E400"/>
      <c r="F400"/>
      <c r="G400"/>
      <c r="H400"/>
      <c r="I400"/>
      <c r="J400"/>
      <c r="K400"/>
      <c r="L400"/>
      <c r="M400" s="18"/>
      <c r="N400"/>
      <c r="O400" s="13"/>
      <c r="P400" s="13"/>
      <c r="Q400" s="13"/>
      <c r="R400"/>
    </row>
    <row r="401" spans="1:18" ht="20.100000000000001" customHeight="1" x14ac:dyDescent="0.3">
      <c r="A401"/>
      <c r="B401"/>
      <c r="C401"/>
      <c r="D401"/>
      <c r="E401"/>
      <c r="F401"/>
      <c r="G401"/>
      <c r="H401"/>
      <c r="I401"/>
      <c r="J401"/>
      <c r="K401"/>
      <c r="L401"/>
      <c r="M401" s="18"/>
      <c r="N401"/>
      <c r="O401" s="13"/>
      <c r="P401" s="13"/>
      <c r="Q401" s="13"/>
      <c r="R401"/>
    </row>
    <row r="402" spans="1:18" ht="20.100000000000001" customHeight="1" x14ac:dyDescent="0.3">
      <c r="A402"/>
      <c r="B402"/>
      <c r="C402"/>
      <c r="D402"/>
      <c r="E402"/>
      <c r="F402"/>
      <c r="G402"/>
      <c r="H402"/>
      <c r="I402"/>
      <c r="J402"/>
      <c r="K402"/>
      <c r="L402"/>
      <c r="M402" s="18"/>
      <c r="N402"/>
      <c r="O402" s="13"/>
      <c r="P402" s="13"/>
      <c r="Q402" s="13"/>
      <c r="R402"/>
    </row>
    <row r="403" spans="1:18" ht="20.100000000000001" customHeight="1" x14ac:dyDescent="0.3">
      <c r="A403"/>
      <c r="B403"/>
      <c r="C403"/>
      <c r="D403"/>
      <c r="E403"/>
      <c r="F403"/>
      <c r="G403"/>
      <c r="H403"/>
      <c r="I403"/>
      <c r="J403"/>
      <c r="K403"/>
      <c r="L403"/>
      <c r="M403" s="18"/>
      <c r="N403"/>
      <c r="O403" s="13"/>
      <c r="P403" s="13"/>
      <c r="Q403" s="13"/>
      <c r="R403"/>
    </row>
    <row r="404" spans="1:18" ht="20.100000000000001" customHeight="1" x14ac:dyDescent="0.3">
      <c r="A404"/>
      <c r="B404"/>
      <c r="C404"/>
      <c r="D404"/>
      <c r="E404"/>
      <c r="F404"/>
      <c r="G404"/>
      <c r="H404"/>
      <c r="I404"/>
      <c r="J404"/>
      <c r="K404"/>
      <c r="L404"/>
      <c r="M404" s="18"/>
      <c r="N404"/>
      <c r="O404" s="13"/>
      <c r="P404" s="13"/>
      <c r="Q404" s="13"/>
      <c r="R404"/>
    </row>
    <row r="405" spans="1:18" ht="20.100000000000001" customHeight="1" x14ac:dyDescent="0.3">
      <c r="A405"/>
      <c r="B405"/>
      <c r="C405"/>
      <c r="D405"/>
      <c r="E405"/>
      <c r="F405"/>
      <c r="G405"/>
      <c r="H405"/>
      <c r="I405"/>
      <c r="J405"/>
      <c r="K405"/>
      <c r="L405"/>
      <c r="M405" s="18"/>
      <c r="N405"/>
      <c r="O405" s="13"/>
      <c r="P405" s="13"/>
      <c r="Q405" s="13"/>
      <c r="R405"/>
    </row>
    <row r="406" spans="1:18" ht="20.100000000000001" customHeight="1" x14ac:dyDescent="0.3">
      <c r="A406"/>
      <c r="B406"/>
      <c r="C406"/>
      <c r="D406"/>
      <c r="E406"/>
      <c r="F406"/>
      <c r="G406"/>
      <c r="H406"/>
      <c r="I406"/>
      <c r="J406"/>
      <c r="K406"/>
      <c r="L406"/>
      <c r="M406" s="18"/>
      <c r="N406"/>
      <c r="O406" s="13"/>
      <c r="P406" s="13"/>
      <c r="Q406" s="13"/>
      <c r="R406"/>
    </row>
    <row r="407" spans="1:18" ht="20.100000000000001" customHeight="1" x14ac:dyDescent="0.3">
      <c r="A407"/>
      <c r="B407"/>
      <c r="C407"/>
      <c r="D407"/>
      <c r="E407"/>
      <c r="F407"/>
      <c r="G407"/>
      <c r="H407"/>
      <c r="I407"/>
      <c r="J407"/>
      <c r="K407"/>
      <c r="L407"/>
      <c r="M407" s="18"/>
      <c r="N407"/>
      <c r="O407" s="13"/>
      <c r="P407" s="13"/>
      <c r="Q407" s="13"/>
      <c r="R407"/>
    </row>
    <row r="408" spans="1:18" ht="20.100000000000001" customHeight="1" x14ac:dyDescent="0.3">
      <c r="A408"/>
      <c r="B408"/>
      <c r="C408"/>
      <c r="D408"/>
      <c r="E408"/>
      <c r="F408"/>
      <c r="G408"/>
      <c r="H408"/>
      <c r="I408"/>
      <c r="J408"/>
      <c r="K408"/>
      <c r="L408"/>
      <c r="M408" s="18"/>
      <c r="N408"/>
      <c r="O408" s="13"/>
      <c r="P408" s="13"/>
      <c r="Q408" s="13"/>
      <c r="R408"/>
    </row>
    <row r="409" spans="1:18" ht="20.100000000000001" customHeight="1" x14ac:dyDescent="0.3">
      <c r="A409"/>
      <c r="B409"/>
      <c r="C409"/>
      <c r="D409"/>
      <c r="E409"/>
      <c r="F409"/>
      <c r="G409"/>
      <c r="H409"/>
      <c r="I409"/>
      <c r="J409"/>
      <c r="K409"/>
      <c r="L409"/>
      <c r="M409" s="18"/>
      <c r="N409"/>
      <c r="O409" s="13"/>
      <c r="P409" s="13"/>
      <c r="Q409" s="13"/>
      <c r="R409"/>
    </row>
    <row r="410" spans="1:18" ht="20.100000000000001" customHeight="1" x14ac:dyDescent="0.3">
      <c r="A410"/>
      <c r="B410"/>
      <c r="C410"/>
      <c r="D410"/>
      <c r="E410"/>
      <c r="F410"/>
      <c r="G410"/>
      <c r="H410"/>
      <c r="I410"/>
      <c r="J410"/>
      <c r="K410"/>
      <c r="L410"/>
      <c r="M410" s="18"/>
      <c r="N410"/>
      <c r="O410" s="13"/>
      <c r="P410" s="13"/>
      <c r="Q410" s="13"/>
      <c r="R410"/>
    </row>
    <row r="411" spans="1:18" ht="20.100000000000001" customHeight="1" x14ac:dyDescent="0.3">
      <c r="A411"/>
      <c r="B411"/>
      <c r="C411"/>
      <c r="D411"/>
      <c r="E411"/>
      <c r="F411"/>
      <c r="G411"/>
      <c r="H411"/>
      <c r="I411"/>
      <c r="J411"/>
      <c r="K411"/>
      <c r="L411"/>
      <c r="M411" s="18"/>
      <c r="N411"/>
      <c r="O411" s="13"/>
      <c r="P411" s="13"/>
      <c r="Q411" s="13"/>
      <c r="R411"/>
    </row>
    <row r="412" spans="1:18" ht="20.100000000000001" customHeight="1" x14ac:dyDescent="0.3">
      <c r="A412"/>
      <c r="B412"/>
      <c r="C412"/>
      <c r="D412"/>
      <c r="E412"/>
      <c r="F412"/>
      <c r="G412"/>
      <c r="H412"/>
      <c r="I412"/>
      <c r="J412"/>
      <c r="K412"/>
      <c r="L412"/>
      <c r="M412" s="18"/>
      <c r="N412"/>
      <c r="O412" s="13"/>
      <c r="P412" s="13"/>
      <c r="Q412" s="13"/>
      <c r="R412"/>
    </row>
    <row r="413" spans="1:18" ht="20.100000000000001" customHeight="1" x14ac:dyDescent="0.3">
      <c r="A413"/>
      <c r="B413"/>
      <c r="C413"/>
      <c r="D413"/>
      <c r="E413"/>
      <c r="F413"/>
      <c r="G413"/>
      <c r="H413"/>
      <c r="I413"/>
      <c r="J413"/>
      <c r="K413"/>
      <c r="L413"/>
      <c r="M413" s="18"/>
      <c r="N413"/>
      <c r="O413" s="13"/>
      <c r="P413" s="13"/>
      <c r="Q413" s="13"/>
      <c r="R413"/>
    </row>
    <row r="414" spans="1:18" ht="20.100000000000001" customHeight="1" x14ac:dyDescent="0.3">
      <c r="A414"/>
      <c r="B414"/>
      <c r="C414"/>
      <c r="D414"/>
      <c r="E414"/>
      <c r="F414"/>
      <c r="G414"/>
      <c r="H414"/>
      <c r="I414"/>
      <c r="J414"/>
      <c r="K414"/>
      <c r="L414"/>
      <c r="M414" s="18"/>
      <c r="N414"/>
      <c r="O414" s="13"/>
      <c r="P414" s="13"/>
      <c r="Q414" s="13"/>
      <c r="R414"/>
    </row>
    <row r="415" spans="1:18" ht="20.100000000000001" customHeight="1" x14ac:dyDescent="0.3">
      <c r="A415"/>
      <c r="B415"/>
      <c r="C415"/>
      <c r="D415"/>
      <c r="E415"/>
      <c r="F415"/>
      <c r="G415"/>
      <c r="H415"/>
      <c r="I415"/>
      <c r="J415"/>
      <c r="K415"/>
      <c r="L415"/>
      <c r="M415" s="18"/>
      <c r="N415"/>
      <c r="O415" s="13"/>
      <c r="P415" s="13"/>
      <c r="Q415" s="13"/>
      <c r="R415"/>
    </row>
    <row r="416" spans="1:18" ht="20.100000000000001" customHeight="1" x14ac:dyDescent="0.3">
      <c r="A416"/>
      <c r="B416"/>
      <c r="C416"/>
      <c r="D416"/>
      <c r="E416"/>
      <c r="F416"/>
      <c r="G416"/>
      <c r="H416"/>
      <c r="I416"/>
      <c r="J416"/>
      <c r="K416"/>
      <c r="L416"/>
      <c r="M416" s="18"/>
      <c r="N416"/>
      <c r="O416" s="13"/>
      <c r="P416" s="13"/>
      <c r="Q416" s="13"/>
      <c r="R416"/>
    </row>
    <row r="417" spans="1:18" ht="20.100000000000001" customHeight="1" x14ac:dyDescent="0.3">
      <c r="A417"/>
      <c r="B417"/>
      <c r="C417"/>
      <c r="D417"/>
      <c r="E417"/>
      <c r="F417"/>
      <c r="G417"/>
      <c r="H417"/>
      <c r="I417"/>
      <c r="J417"/>
      <c r="K417"/>
      <c r="L417"/>
      <c r="M417" s="18"/>
      <c r="N417"/>
      <c r="O417" s="13"/>
      <c r="P417" s="13"/>
      <c r="Q417" s="13"/>
      <c r="R417"/>
    </row>
    <row r="418" spans="1:18" ht="20.100000000000001" customHeight="1" x14ac:dyDescent="0.3">
      <c r="A418"/>
      <c r="B418"/>
      <c r="C418"/>
      <c r="D418"/>
      <c r="E418"/>
      <c r="F418"/>
      <c r="G418"/>
      <c r="H418"/>
      <c r="I418"/>
      <c r="J418"/>
      <c r="K418"/>
      <c r="L418"/>
      <c r="M418" s="18"/>
      <c r="N418"/>
      <c r="O418" s="13"/>
      <c r="P418" s="13"/>
      <c r="Q418" s="13"/>
      <c r="R418"/>
    </row>
    <row r="419" spans="1:18" ht="20.100000000000001" customHeight="1" x14ac:dyDescent="0.3">
      <c r="A419"/>
      <c r="B419"/>
      <c r="C419"/>
      <c r="D419"/>
      <c r="E419"/>
      <c r="F419"/>
      <c r="G419"/>
      <c r="H419"/>
      <c r="I419"/>
      <c r="J419"/>
      <c r="K419"/>
      <c r="L419"/>
      <c r="M419" s="18"/>
      <c r="N419"/>
      <c r="O419" s="13"/>
      <c r="P419" s="13"/>
      <c r="Q419" s="13"/>
      <c r="R419"/>
    </row>
    <row r="420" spans="1:18" ht="20.100000000000001" customHeight="1" x14ac:dyDescent="0.3">
      <c r="A420"/>
      <c r="B420"/>
      <c r="C420"/>
      <c r="D420"/>
      <c r="E420"/>
      <c r="F420"/>
      <c r="G420"/>
      <c r="H420"/>
      <c r="I420"/>
      <c r="J420"/>
      <c r="K420"/>
      <c r="L420"/>
      <c r="M420" s="18"/>
      <c r="N420"/>
      <c r="O420" s="13"/>
      <c r="P420" s="13"/>
      <c r="Q420" s="13"/>
      <c r="R420"/>
    </row>
    <row r="421" spans="1:18" ht="20.100000000000001" customHeight="1" x14ac:dyDescent="0.3">
      <c r="A421"/>
      <c r="B421"/>
      <c r="C421"/>
      <c r="D421"/>
      <c r="E421"/>
      <c r="F421"/>
      <c r="G421"/>
      <c r="H421"/>
      <c r="I421"/>
      <c r="J421"/>
      <c r="K421"/>
      <c r="L421"/>
      <c r="M421" s="18"/>
      <c r="N421"/>
      <c r="O421" s="13"/>
      <c r="P421" s="13"/>
      <c r="Q421" s="13"/>
      <c r="R421"/>
    </row>
    <row r="422" spans="1:18" ht="20.100000000000001" customHeight="1" x14ac:dyDescent="0.3">
      <c r="A422"/>
      <c r="B422"/>
      <c r="C422"/>
      <c r="D422"/>
      <c r="E422"/>
      <c r="F422"/>
      <c r="G422"/>
      <c r="H422"/>
      <c r="I422"/>
      <c r="J422"/>
      <c r="K422"/>
      <c r="L422"/>
      <c r="M422" s="18"/>
      <c r="N422"/>
      <c r="O422" s="13"/>
      <c r="P422" s="13"/>
      <c r="Q422" s="13"/>
      <c r="R422"/>
    </row>
    <row r="423" spans="1:18" ht="20.100000000000001" customHeight="1" x14ac:dyDescent="0.3">
      <c r="A423"/>
      <c r="B423"/>
      <c r="C423"/>
      <c r="D423"/>
      <c r="E423"/>
      <c r="F423"/>
      <c r="G423"/>
      <c r="H423"/>
      <c r="I423"/>
      <c r="J423"/>
      <c r="K423"/>
      <c r="L423"/>
      <c r="M423" s="18"/>
      <c r="N423"/>
      <c r="O423" s="13"/>
      <c r="P423" s="13"/>
      <c r="Q423" s="13"/>
      <c r="R423"/>
    </row>
    <row r="424" spans="1:18" ht="20.100000000000001" customHeight="1" x14ac:dyDescent="0.3">
      <c r="A424"/>
      <c r="B424"/>
      <c r="C424"/>
      <c r="D424"/>
      <c r="E424"/>
      <c r="F424"/>
      <c r="G424"/>
      <c r="H424"/>
      <c r="I424"/>
      <c r="J424"/>
      <c r="K424"/>
      <c r="L424"/>
      <c r="M424" s="18"/>
      <c r="N424"/>
      <c r="O424" s="13"/>
      <c r="P424" s="13"/>
      <c r="Q424" s="13"/>
      <c r="R424"/>
    </row>
    <row r="425" spans="1:18" ht="20.100000000000001" customHeight="1" x14ac:dyDescent="0.3">
      <c r="A425"/>
      <c r="B425"/>
      <c r="C425"/>
      <c r="D425"/>
      <c r="E425"/>
      <c r="F425"/>
      <c r="G425"/>
      <c r="H425"/>
      <c r="I425"/>
      <c r="J425"/>
      <c r="K425"/>
      <c r="L425"/>
      <c r="M425" s="18"/>
      <c r="N425"/>
      <c r="O425" s="13"/>
      <c r="P425" s="13"/>
      <c r="Q425" s="13"/>
      <c r="R425"/>
    </row>
    <row r="426" spans="1:18" ht="20.100000000000001" customHeight="1" x14ac:dyDescent="0.3">
      <c r="A426"/>
      <c r="B426"/>
      <c r="C426"/>
      <c r="D426"/>
      <c r="E426"/>
      <c r="F426"/>
      <c r="G426"/>
      <c r="H426"/>
      <c r="I426"/>
      <c r="J426"/>
      <c r="K426"/>
      <c r="L426"/>
      <c r="M426" s="18"/>
      <c r="N426"/>
      <c r="O426" s="13"/>
      <c r="P426" s="13"/>
      <c r="Q426" s="13"/>
      <c r="R426"/>
    </row>
    <row r="427" spans="1:18" ht="20.100000000000001" customHeight="1" x14ac:dyDescent="0.3">
      <c r="A427"/>
      <c r="B427"/>
      <c r="C427"/>
      <c r="D427"/>
      <c r="E427"/>
      <c r="F427"/>
      <c r="G427"/>
      <c r="H427"/>
      <c r="I427"/>
      <c r="J427"/>
      <c r="K427"/>
      <c r="L427"/>
      <c r="M427" s="18"/>
      <c r="N427"/>
      <c r="O427" s="13"/>
      <c r="P427" s="13"/>
      <c r="Q427" s="13"/>
      <c r="R427"/>
    </row>
    <row r="428" spans="1:18" ht="20.100000000000001" customHeight="1" x14ac:dyDescent="0.3">
      <c r="A428"/>
      <c r="B428"/>
      <c r="C428"/>
      <c r="D428"/>
      <c r="E428"/>
      <c r="F428"/>
      <c r="G428"/>
      <c r="H428"/>
      <c r="I428"/>
      <c r="J428"/>
      <c r="K428"/>
      <c r="L428"/>
      <c r="M428" s="18"/>
      <c r="N428"/>
      <c r="O428" s="13"/>
      <c r="P428" s="13"/>
      <c r="Q428" s="13"/>
      <c r="R428"/>
    </row>
    <row r="429" spans="1:18" ht="20.100000000000001" customHeight="1" x14ac:dyDescent="0.3">
      <c r="A429"/>
      <c r="B429"/>
      <c r="C429"/>
      <c r="D429"/>
      <c r="E429"/>
      <c r="F429"/>
      <c r="G429"/>
      <c r="H429"/>
      <c r="I429"/>
      <c r="J429"/>
      <c r="K429"/>
      <c r="L429"/>
      <c r="M429" s="18"/>
      <c r="N429"/>
      <c r="O429" s="13"/>
      <c r="P429" s="13"/>
      <c r="Q429" s="13"/>
      <c r="R429"/>
    </row>
    <row r="430" spans="1:18" ht="20.100000000000001" customHeight="1" x14ac:dyDescent="0.3">
      <c r="A430"/>
      <c r="B430"/>
      <c r="C430"/>
      <c r="D430"/>
      <c r="E430"/>
      <c r="F430"/>
      <c r="G430"/>
      <c r="H430"/>
      <c r="I430"/>
      <c r="J430"/>
      <c r="K430"/>
      <c r="L430"/>
      <c r="M430" s="18"/>
      <c r="N430"/>
      <c r="O430" s="13"/>
      <c r="P430" s="13"/>
      <c r="Q430" s="13"/>
      <c r="R430"/>
    </row>
    <row r="431" spans="1:18" ht="20.100000000000001" customHeight="1" x14ac:dyDescent="0.3">
      <c r="A431"/>
      <c r="B431"/>
      <c r="C431"/>
      <c r="D431"/>
      <c r="E431"/>
      <c r="F431"/>
      <c r="G431"/>
      <c r="H431"/>
      <c r="I431"/>
      <c r="J431"/>
      <c r="K431"/>
      <c r="L431"/>
      <c r="M431" s="18"/>
      <c r="N431"/>
      <c r="O431" s="13"/>
      <c r="P431" s="13"/>
      <c r="Q431" s="13"/>
      <c r="R431"/>
    </row>
    <row r="432" spans="1:18" ht="20.100000000000001" customHeight="1" x14ac:dyDescent="0.3">
      <c r="A432"/>
      <c r="B432"/>
      <c r="C432"/>
      <c r="D432"/>
      <c r="E432"/>
      <c r="F432"/>
      <c r="G432"/>
      <c r="H432"/>
      <c r="I432"/>
      <c r="J432"/>
      <c r="K432"/>
      <c r="L432"/>
      <c r="M432" s="18"/>
      <c r="N432"/>
      <c r="O432" s="13"/>
      <c r="P432" s="13"/>
      <c r="Q432" s="13"/>
      <c r="R432"/>
    </row>
    <row r="433" spans="1:18" ht="20.100000000000001" customHeight="1" x14ac:dyDescent="0.3">
      <c r="A433"/>
      <c r="B433"/>
      <c r="C433"/>
      <c r="D433"/>
      <c r="E433"/>
      <c r="F433"/>
      <c r="G433"/>
      <c r="H433"/>
      <c r="I433"/>
      <c r="J433"/>
      <c r="K433"/>
      <c r="L433"/>
      <c r="M433" s="18"/>
      <c r="N433"/>
      <c r="O433" s="13"/>
      <c r="P433" s="13"/>
      <c r="Q433" s="13"/>
      <c r="R433"/>
    </row>
    <row r="434" spans="1:18" ht="20.100000000000001" customHeight="1" x14ac:dyDescent="0.3">
      <c r="A434"/>
      <c r="B434"/>
      <c r="C434"/>
      <c r="D434"/>
      <c r="E434"/>
      <c r="F434"/>
      <c r="G434"/>
      <c r="H434"/>
      <c r="I434"/>
      <c r="J434"/>
      <c r="K434"/>
      <c r="L434"/>
      <c r="M434" s="18"/>
      <c r="N434"/>
      <c r="O434" s="13"/>
      <c r="P434" s="13"/>
      <c r="Q434" s="13"/>
      <c r="R434"/>
    </row>
    <row r="435" spans="1:18" ht="20.100000000000001" customHeight="1" x14ac:dyDescent="0.3">
      <c r="A435"/>
      <c r="B435"/>
      <c r="C435"/>
      <c r="D435"/>
      <c r="E435"/>
      <c r="F435"/>
      <c r="G435"/>
      <c r="H435"/>
      <c r="I435"/>
      <c r="J435"/>
      <c r="K435"/>
      <c r="L435"/>
      <c r="M435" s="18"/>
      <c r="N435"/>
      <c r="O435" s="13"/>
      <c r="P435" s="13"/>
      <c r="Q435" s="13"/>
      <c r="R435"/>
    </row>
    <row r="436" spans="1:18" ht="20.100000000000001" customHeight="1" x14ac:dyDescent="0.3">
      <c r="A436"/>
      <c r="B436"/>
      <c r="C436"/>
      <c r="D436"/>
      <c r="E436"/>
      <c r="F436"/>
      <c r="G436"/>
      <c r="H436"/>
      <c r="I436"/>
      <c r="J436"/>
      <c r="K436"/>
      <c r="L436"/>
      <c r="M436" s="18"/>
      <c r="N436"/>
      <c r="O436" s="13"/>
      <c r="P436" s="13"/>
      <c r="Q436" s="13"/>
      <c r="R436"/>
    </row>
    <row r="437" spans="1:18" ht="20.100000000000001" customHeight="1" x14ac:dyDescent="0.3">
      <c r="A437"/>
      <c r="B437"/>
      <c r="C437"/>
      <c r="D437"/>
      <c r="E437"/>
      <c r="F437"/>
      <c r="G437"/>
      <c r="H437"/>
      <c r="I437"/>
      <c r="J437"/>
      <c r="K437"/>
      <c r="L437"/>
      <c r="M437" s="18"/>
      <c r="N437"/>
      <c r="O437" s="13"/>
      <c r="P437" s="13"/>
      <c r="Q437" s="13"/>
      <c r="R437"/>
    </row>
    <row r="438" spans="1:18" ht="20.100000000000001" customHeight="1" x14ac:dyDescent="0.3">
      <c r="A438"/>
      <c r="B438"/>
      <c r="C438"/>
      <c r="D438"/>
      <c r="E438"/>
      <c r="F438"/>
      <c r="G438"/>
      <c r="H438"/>
      <c r="I438"/>
      <c r="J438"/>
      <c r="K438"/>
      <c r="L438"/>
      <c r="M438" s="18"/>
      <c r="N438"/>
      <c r="O438" s="13"/>
      <c r="P438" s="13"/>
      <c r="Q438" s="13"/>
      <c r="R438"/>
    </row>
    <row r="439" spans="1:18" ht="20.100000000000001" customHeight="1" x14ac:dyDescent="0.3">
      <c r="A439"/>
      <c r="B439"/>
      <c r="C439"/>
      <c r="D439"/>
      <c r="E439"/>
      <c r="F439"/>
      <c r="G439"/>
      <c r="H439"/>
      <c r="I439"/>
      <c r="J439"/>
      <c r="K439"/>
      <c r="L439"/>
      <c r="M439" s="18"/>
      <c r="N439"/>
      <c r="O439" s="13"/>
      <c r="P439" s="13"/>
      <c r="Q439" s="13"/>
      <c r="R439"/>
    </row>
    <row r="440" spans="1:18" ht="20.100000000000001" customHeight="1" x14ac:dyDescent="0.3">
      <c r="A440"/>
      <c r="B440"/>
      <c r="C440"/>
      <c r="D440"/>
      <c r="E440"/>
      <c r="F440"/>
      <c r="G440"/>
      <c r="H440"/>
      <c r="I440"/>
      <c r="J440"/>
      <c r="K440"/>
      <c r="L440"/>
      <c r="M440" s="18"/>
      <c r="N440"/>
      <c r="O440" s="13"/>
      <c r="P440" s="13"/>
      <c r="Q440" s="13"/>
      <c r="R440"/>
    </row>
    <row r="441" spans="1:18" ht="20.100000000000001" customHeight="1" x14ac:dyDescent="0.3">
      <c r="A441"/>
      <c r="B441"/>
      <c r="C441"/>
      <c r="D441"/>
      <c r="E441"/>
      <c r="F441"/>
      <c r="G441"/>
      <c r="H441"/>
      <c r="I441"/>
      <c r="J441"/>
      <c r="K441"/>
      <c r="L441"/>
      <c r="M441" s="18"/>
      <c r="N441"/>
      <c r="O441" s="13"/>
      <c r="P441" s="13"/>
      <c r="Q441" s="13"/>
      <c r="R441"/>
    </row>
    <row r="442" spans="1:18" ht="20.100000000000001" customHeight="1" x14ac:dyDescent="0.3">
      <c r="A442"/>
      <c r="B442"/>
      <c r="C442"/>
      <c r="D442"/>
      <c r="E442"/>
      <c r="F442"/>
      <c r="G442"/>
      <c r="H442"/>
      <c r="I442"/>
      <c r="J442"/>
      <c r="K442"/>
      <c r="L442"/>
      <c r="M442" s="18"/>
      <c r="N442"/>
      <c r="O442" s="13"/>
      <c r="P442" s="13"/>
      <c r="Q442" s="13"/>
      <c r="R442"/>
    </row>
    <row r="443" spans="1:18" ht="20.100000000000001" customHeight="1" x14ac:dyDescent="0.3">
      <c r="A443"/>
      <c r="B443"/>
      <c r="C443"/>
      <c r="D443"/>
      <c r="E443"/>
      <c r="F443"/>
      <c r="G443"/>
      <c r="H443"/>
      <c r="I443"/>
      <c r="J443"/>
      <c r="K443"/>
      <c r="L443"/>
      <c r="M443" s="18"/>
      <c r="N443"/>
      <c r="O443" s="13"/>
      <c r="P443" s="13"/>
      <c r="Q443" s="13"/>
      <c r="R443"/>
    </row>
    <row r="444" spans="1:18" ht="20.100000000000001" customHeight="1" x14ac:dyDescent="0.3">
      <c r="A444"/>
      <c r="B444"/>
      <c r="C444"/>
      <c r="D444"/>
      <c r="E444"/>
      <c r="F444"/>
      <c r="G444"/>
      <c r="H444"/>
      <c r="I444"/>
      <c r="J444"/>
      <c r="K444"/>
      <c r="L444"/>
      <c r="M444" s="18"/>
      <c r="N444"/>
      <c r="O444" s="13"/>
      <c r="P444" s="13"/>
      <c r="Q444" s="13"/>
      <c r="R444"/>
    </row>
    <row r="445" spans="1:18" ht="20.100000000000001" customHeight="1" x14ac:dyDescent="0.3">
      <c r="A445"/>
      <c r="B445"/>
      <c r="C445"/>
      <c r="D445"/>
      <c r="E445"/>
      <c r="F445"/>
      <c r="G445"/>
      <c r="H445"/>
      <c r="I445"/>
      <c r="J445"/>
      <c r="K445"/>
      <c r="L445"/>
      <c r="M445" s="18"/>
      <c r="N445"/>
      <c r="O445" s="13"/>
      <c r="P445" s="13"/>
      <c r="Q445" s="13"/>
      <c r="R445"/>
    </row>
    <row r="446" spans="1:18" ht="20.100000000000001" customHeight="1" x14ac:dyDescent="0.3">
      <c r="A446"/>
      <c r="B446"/>
      <c r="C446"/>
      <c r="D446"/>
      <c r="E446"/>
      <c r="F446"/>
      <c r="G446"/>
      <c r="H446"/>
      <c r="I446"/>
      <c r="J446"/>
      <c r="K446"/>
      <c r="L446"/>
      <c r="M446" s="18"/>
      <c r="N446"/>
      <c r="O446" s="13"/>
      <c r="P446" s="13"/>
      <c r="Q446" s="13"/>
      <c r="R446"/>
    </row>
    <row r="447" spans="1:18" ht="20.100000000000001" customHeight="1" x14ac:dyDescent="0.3">
      <c r="A447"/>
      <c r="B447"/>
      <c r="C447"/>
      <c r="D447"/>
      <c r="E447"/>
      <c r="F447"/>
      <c r="G447"/>
      <c r="H447"/>
      <c r="I447"/>
      <c r="J447"/>
      <c r="K447"/>
      <c r="L447"/>
      <c r="M447" s="18"/>
      <c r="N447"/>
      <c r="O447" s="13"/>
      <c r="P447" s="13"/>
      <c r="Q447" s="13"/>
      <c r="R447"/>
    </row>
    <row r="448" spans="1:18" ht="20.100000000000001" customHeight="1" x14ac:dyDescent="0.3">
      <c r="A448"/>
      <c r="B448"/>
      <c r="C448"/>
      <c r="D448"/>
      <c r="E448"/>
      <c r="F448"/>
      <c r="G448"/>
      <c r="H448"/>
      <c r="I448"/>
      <c r="J448"/>
      <c r="K448"/>
      <c r="L448"/>
      <c r="M448" s="18"/>
      <c r="N448"/>
      <c r="O448" s="13"/>
      <c r="P448" s="13"/>
      <c r="Q448" s="13"/>
      <c r="R448"/>
    </row>
    <row r="449" spans="1:18" ht="20.100000000000001" customHeight="1" x14ac:dyDescent="0.3">
      <c r="A449"/>
      <c r="B449"/>
      <c r="C449"/>
      <c r="D449"/>
      <c r="E449"/>
      <c r="F449"/>
      <c r="G449"/>
      <c r="H449"/>
      <c r="I449"/>
      <c r="J449"/>
      <c r="K449"/>
      <c r="L449"/>
      <c r="M449" s="18"/>
      <c r="N449"/>
      <c r="O449" s="13"/>
      <c r="P449" s="13"/>
      <c r="Q449" s="13"/>
      <c r="R449"/>
    </row>
    <row r="450" spans="1:18" ht="20.100000000000001" customHeight="1" x14ac:dyDescent="0.3">
      <c r="A450"/>
      <c r="B450"/>
      <c r="C450"/>
      <c r="D450"/>
      <c r="E450"/>
      <c r="F450"/>
      <c r="G450"/>
      <c r="H450"/>
      <c r="I450"/>
      <c r="J450"/>
      <c r="K450"/>
      <c r="L450"/>
      <c r="M450" s="18"/>
      <c r="N450"/>
      <c r="O450" s="13"/>
      <c r="P450" s="13"/>
      <c r="Q450" s="13"/>
      <c r="R450"/>
    </row>
    <row r="451" spans="1:18" ht="20.100000000000001" customHeight="1" x14ac:dyDescent="0.3">
      <c r="A451"/>
      <c r="B451"/>
      <c r="C451"/>
      <c r="D451"/>
      <c r="E451"/>
      <c r="F451"/>
      <c r="G451"/>
      <c r="H451"/>
      <c r="I451"/>
      <c r="J451"/>
      <c r="K451"/>
      <c r="L451"/>
      <c r="M451" s="18"/>
      <c r="N451"/>
      <c r="O451" s="13"/>
      <c r="P451" s="13"/>
      <c r="Q451" s="13"/>
      <c r="R451"/>
    </row>
    <row r="452" spans="1:18" ht="20.100000000000001" customHeight="1" x14ac:dyDescent="0.3">
      <c r="A452"/>
      <c r="B452"/>
      <c r="C452"/>
      <c r="D452"/>
      <c r="E452"/>
      <c r="F452"/>
      <c r="G452"/>
      <c r="H452"/>
      <c r="I452"/>
      <c r="J452"/>
      <c r="K452"/>
      <c r="L452"/>
      <c r="M452" s="18"/>
      <c r="N452"/>
      <c r="O452" s="13"/>
      <c r="P452" s="13"/>
      <c r="Q452" s="13"/>
      <c r="R452"/>
    </row>
    <row r="453" spans="1:18" ht="20.100000000000001" customHeight="1" x14ac:dyDescent="0.3">
      <c r="A453"/>
      <c r="B453"/>
      <c r="C453"/>
      <c r="D453"/>
      <c r="E453"/>
      <c r="F453"/>
      <c r="G453"/>
      <c r="H453"/>
      <c r="I453"/>
      <c r="J453"/>
      <c r="K453"/>
      <c r="L453"/>
      <c r="M453" s="18"/>
      <c r="N453"/>
      <c r="O453" s="13"/>
      <c r="P453" s="13"/>
      <c r="Q453" s="13"/>
      <c r="R453"/>
    </row>
    <row r="454" spans="1:18" ht="20.100000000000001" customHeight="1" x14ac:dyDescent="0.3">
      <c r="A454"/>
      <c r="B454"/>
      <c r="C454"/>
      <c r="D454"/>
      <c r="E454"/>
      <c r="F454"/>
      <c r="G454"/>
      <c r="H454"/>
      <c r="I454"/>
      <c r="J454"/>
      <c r="K454"/>
      <c r="L454"/>
      <c r="M454" s="18"/>
      <c r="N454"/>
      <c r="O454" s="13"/>
      <c r="P454" s="13"/>
      <c r="Q454" s="13"/>
      <c r="R454"/>
    </row>
    <row r="455" spans="1:18" ht="20.100000000000001" customHeight="1" x14ac:dyDescent="0.3">
      <c r="A455"/>
      <c r="B455"/>
      <c r="C455"/>
      <c r="D455"/>
      <c r="E455"/>
      <c r="F455"/>
      <c r="G455"/>
      <c r="H455"/>
      <c r="I455"/>
      <c r="J455"/>
      <c r="K455"/>
      <c r="L455"/>
      <c r="M455" s="18"/>
      <c r="N455"/>
      <c r="O455" s="13"/>
      <c r="P455" s="13"/>
      <c r="Q455" s="13"/>
      <c r="R455"/>
    </row>
    <row r="456" spans="1:18" ht="20.100000000000001" customHeight="1" x14ac:dyDescent="0.3">
      <c r="A456"/>
      <c r="B456"/>
      <c r="C456"/>
      <c r="D456"/>
      <c r="E456"/>
      <c r="F456"/>
      <c r="G456"/>
      <c r="H456"/>
      <c r="I456"/>
      <c r="J456"/>
      <c r="K456"/>
      <c r="L456"/>
      <c r="M456" s="18"/>
      <c r="N456"/>
      <c r="O456" s="13"/>
      <c r="P456" s="13"/>
      <c r="Q456" s="13"/>
      <c r="R456"/>
    </row>
    <row r="457" spans="1:18" ht="20.100000000000001" customHeight="1" x14ac:dyDescent="0.3">
      <c r="A457"/>
      <c r="B457"/>
      <c r="C457"/>
      <c r="D457"/>
      <c r="E457"/>
      <c r="F457"/>
      <c r="G457"/>
      <c r="H457"/>
      <c r="I457"/>
      <c r="J457"/>
      <c r="K457"/>
      <c r="L457"/>
      <c r="M457" s="18"/>
      <c r="N457"/>
      <c r="O457" s="13"/>
      <c r="P457" s="13"/>
      <c r="Q457" s="13"/>
      <c r="R457"/>
    </row>
    <row r="458" spans="1:18" ht="20.100000000000001" customHeight="1" x14ac:dyDescent="0.3">
      <c r="A458"/>
      <c r="B458"/>
      <c r="C458"/>
      <c r="D458"/>
      <c r="E458"/>
      <c r="F458"/>
      <c r="G458"/>
      <c r="H458"/>
      <c r="I458"/>
      <c r="J458"/>
      <c r="K458"/>
      <c r="L458"/>
      <c r="M458" s="18"/>
      <c r="N458"/>
      <c r="O458" s="13"/>
      <c r="P458" s="13"/>
      <c r="Q458" s="13"/>
      <c r="R458"/>
    </row>
    <row r="459" spans="1:18" ht="20.100000000000001" customHeight="1" x14ac:dyDescent="0.3">
      <c r="A459"/>
      <c r="B459"/>
      <c r="C459"/>
      <c r="D459"/>
      <c r="E459"/>
      <c r="F459"/>
      <c r="G459"/>
      <c r="H459"/>
      <c r="I459"/>
      <c r="J459"/>
      <c r="K459"/>
      <c r="L459"/>
      <c r="M459" s="18"/>
      <c r="N459"/>
      <c r="O459" s="13"/>
      <c r="P459" s="13"/>
      <c r="Q459" s="13"/>
      <c r="R459"/>
    </row>
    <row r="460" spans="1:18" ht="20.100000000000001" customHeight="1" x14ac:dyDescent="0.3">
      <c r="A460"/>
      <c r="B460"/>
      <c r="C460"/>
      <c r="D460"/>
      <c r="E460"/>
      <c r="F460"/>
      <c r="G460"/>
      <c r="H460"/>
      <c r="I460"/>
      <c r="J460"/>
      <c r="K460"/>
      <c r="L460"/>
      <c r="M460" s="18"/>
      <c r="N460"/>
      <c r="O460" s="13"/>
      <c r="P460" s="13"/>
      <c r="Q460" s="13"/>
      <c r="R460"/>
    </row>
    <row r="461" spans="1:18" ht="20.100000000000001" customHeight="1" x14ac:dyDescent="0.3">
      <c r="A461"/>
      <c r="B461"/>
      <c r="C461"/>
      <c r="D461"/>
      <c r="E461"/>
      <c r="F461"/>
      <c r="G461"/>
      <c r="H461"/>
      <c r="I461"/>
      <c r="J461"/>
      <c r="K461"/>
      <c r="L461"/>
      <c r="M461" s="18"/>
      <c r="N461"/>
      <c r="O461" s="13"/>
      <c r="P461" s="13"/>
      <c r="Q461" s="13"/>
      <c r="R461"/>
    </row>
    <row r="462" spans="1:18" ht="20.100000000000001" customHeight="1" x14ac:dyDescent="0.3">
      <c r="A462"/>
      <c r="B462"/>
      <c r="C462"/>
      <c r="D462"/>
      <c r="E462"/>
      <c r="F462"/>
      <c r="G462"/>
      <c r="H462"/>
      <c r="I462"/>
      <c r="J462"/>
      <c r="K462"/>
      <c r="L462"/>
      <c r="M462" s="18"/>
      <c r="N462"/>
      <c r="O462" s="13"/>
      <c r="P462" s="13"/>
      <c r="Q462" s="13"/>
      <c r="R462"/>
    </row>
    <row r="463" spans="1:18" ht="20.100000000000001" customHeight="1" x14ac:dyDescent="0.3">
      <c r="A463"/>
      <c r="B463"/>
      <c r="C463"/>
      <c r="D463"/>
      <c r="E463"/>
      <c r="F463"/>
      <c r="G463"/>
      <c r="H463"/>
      <c r="I463"/>
      <c r="J463"/>
      <c r="K463"/>
      <c r="L463"/>
      <c r="M463" s="18"/>
      <c r="N463"/>
      <c r="O463" s="13"/>
      <c r="P463" s="13"/>
      <c r="Q463" s="13"/>
      <c r="R463"/>
    </row>
    <row r="464" spans="1:18" ht="20.100000000000001" customHeight="1" x14ac:dyDescent="0.3">
      <c r="A464"/>
      <c r="B464"/>
      <c r="C464"/>
      <c r="D464"/>
      <c r="E464"/>
      <c r="F464"/>
      <c r="G464"/>
      <c r="H464"/>
      <c r="I464"/>
      <c r="J464"/>
      <c r="K464"/>
      <c r="L464"/>
      <c r="M464" s="18"/>
      <c r="N464"/>
      <c r="O464" s="13"/>
      <c r="P464" s="13"/>
      <c r="Q464" s="13"/>
      <c r="R464"/>
    </row>
    <row r="465" spans="1:18" ht="20.100000000000001" customHeight="1" x14ac:dyDescent="0.3">
      <c r="A465"/>
      <c r="B465"/>
      <c r="C465"/>
      <c r="D465"/>
      <c r="E465"/>
      <c r="F465"/>
      <c r="G465"/>
      <c r="H465"/>
      <c r="I465"/>
      <c r="J465"/>
      <c r="K465"/>
      <c r="L465"/>
      <c r="M465" s="18"/>
      <c r="N465"/>
      <c r="O465" s="13"/>
      <c r="P465" s="13"/>
      <c r="Q465" s="13"/>
      <c r="R465"/>
    </row>
    <row r="466" spans="1:18" ht="20.100000000000001" customHeight="1" x14ac:dyDescent="0.3">
      <c r="A466"/>
      <c r="B466"/>
      <c r="C466"/>
      <c r="D466"/>
      <c r="E466"/>
      <c r="F466"/>
      <c r="G466"/>
      <c r="H466"/>
      <c r="I466"/>
      <c r="J466"/>
      <c r="K466"/>
      <c r="L466"/>
      <c r="M466" s="18"/>
      <c r="N466"/>
      <c r="O466" s="13"/>
      <c r="P466" s="13"/>
      <c r="Q466" s="13"/>
      <c r="R466"/>
    </row>
    <row r="467" spans="1:18" ht="20.100000000000001" customHeight="1" x14ac:dyDescent="0.3">
      <c r="A467"/>
      <c r="B467"/>
      <c r="C467"/>
      <c r="D467"/>
      <c r="E467"/>
      <c r="F467"/>
      <c r="G467"/>
      <c r="H467"/>
      <c r="I467"/>
      <c r="J467"/>
      <c r="K467"/>
      <c r="L467"/>
      <c r="M467" s="18"/>
      <c r="N467"/>
      <c r="O467" s="13"/>
      <c r="P467" s="13"/>
      <c r="Q467" s="13"/>
      <c r="R467"/>
    </row>
    <row r="468" spans="1:18" ht="20.100000000000001" customHeight="1" x14ac:dyDescent="0.3">
      <c r="A468"/>
      <c r="B468"/>
      <c r="C468"/>
      <c r="D468"/>
      <c r="E468"/>
      <c r="F468"/>
      <c r="G468"/>
      <c r="H468"/>
      <c r="I468"/>
      <c r="J468"/>
      <c r="K468"/>
      <c r="L468"/>
      <c r="M468" s="18"/>
      <c r="N468"/>
      <c r="O468" s="13"/>
      <c r="P468" s="13"/>
      <c r="Q468" s="13"/>
      <c r="R468"/>
    </row>
    <row r="469" spans="1:18" ht="20.100000000000001" customHeight="1" x14ac:dyDescent="0.3">
      <c r="A469"/>
      <c r="B469"/>
      <c r="C469"/>
      <c r="D469"/>
      <c r="E469"/>
      <c r="F469"/>
      <c r="G469"/>
      <c r="H469"/>
      <c r="I469"/>
      <c r="J469"/>
      <c r="K469"/>
      <c r="L469"/>
      <c r="M469" s="18"/>
      <c r="N469"/>
      <c r="O469" s="13"/>
      <c r="P469" s="13"/>
      <c r="Q469" s="13"/>
      <c r="R469"/>
    </row>
    <row r="470" spans="1:18" ht="20.100000000000001" customHeight="1" x14ac:dyDescent="0.3">
      <c r="A470"/>
      <c r="B470"/>
      <c r="C470"/>
      <c r="D470"/>
      <c r="E470"/>
      <c r="F470"/>
      <c r="G470"/>
      <c r="H470"/>
      <c r="I470"/>
      <c r="J470"/>
      <c r="K470"/>
      <c r="L470"/>
      <c r="M470" s="18"/>
      <c r="N470"/>
      <c r="O470" s="13"/>
      <c r="P470" s="13"/>
      <c r="Q470" s="13"/>
      <c r="R470"/>
    </row>
    <row r="471" spans="1:18" ht="20.100000000000001" customHeight="1" x14ac:dyDescent="0.3">
      <c r="A471"/>
      <c r="B471"/>
      <c r="C471"/>
      <c r="D471"/>
      <c r="E471"/>
      <c r="F471"/>
      <c r="G471"/>
      <c r="H471"/>
      <c r="I471"/>
      <c r="J471"/>
      <c r="K471"/>
      <c r="L471"/>
      <c r="M471" s="18"/>
      <c r="N471"/>
      <c r="O471" s="13"/>
      <c r="P471" s="13"/>
      <c r="Q471" s="13"/>
      <c r="R471"/>
    </row>
    <row r="472" spans="1:18" ht="20.100000000000001" customHeight="1" x14ac:dyDescent="0.3">
      <c r="A472"/>
      <c r="B472"/>
      <c r="C472"/>
      <c r="D472"/>
      <c r="E472"/>
      <c r="F472"/>
      <c r="G472"/>
      <c r="H472"/>
      <c r="I472"/>
      <c r="J472"/>
      <c r="K472"/>
      <c r="L472"/>
      <c r="M472" s="18"/>
      <c r="N472"/>
      <c r="O472" s="13"/>
      <c r="P472" s="13"/>
      <c r="Q472" s="13"/>
      <c r="R472"/>
    </row>
    <row r="473" spans="1:18" ht="20.100000000000001" customHeight="1" x14ac:dyDescent="0.3">
      <c r="A473"/>
      <c r="B473"/>
      <c r="C473"/>
      <c r="D473"/>
      <c r="E473"/>
      <c r="F473"/>
      <c r="G473"/>
      <c r="H473"/>
      <c r="I473"/>
      <c r="J473"/>
      <c r="K473"/>
      <c r="L473"/>
      <c r="M473" s="18"/>
      <c r="N473"/>
      <c r="O473" s="13"/>
      <c r="P473" s="13"/>
      <c r="Q473" s="13"/>
      <c r="R473"/>
    </row>
    <row r="474" spans="1:18" ht="20.100000000000001" customHeight="1" x14ac:dyDescent="0.3">
      <c r="A474"/>
      <c r="B474"/>
      <c r="C474"/>
      <c r="D474"/>
      <c r="E474"/>
      <c r="F474"/>
      <c r="G474"/>
      <c r="H474"/>
      <c r="I474"/>
      <c r="J474"/>
      <c r="K474"/>
      <c r="L474"/>
      <c r="M474" s="18"/>
      <c r="N474"/>
      <c r="O474" s="13"/>
      <c r="P474" s="13"/>
      <c r="Q474" s="13"/>
      <c r="R474"/>
    </row>
    <row r="475" spans="1:18" ht="20.100000000000001" customHeight="1" x14ac:dyDescent="0.3">
      <c r="A475"/>
      <c r="B475"/>
      <c r="C475"/>
      <c r="D475"/>
      <c r="E475"/>
      <c r="F475"/>
      <c r="G475"/>
      <c r="H475"/>
      <c r="I475"/>
      <c r="J475"/>
      <c r="K475"/>
      <c r="L475"/>
      <c r="M475" s="18"/>
      <c r="N475"/>
      <c r="O475" s="13"/>
      <c r="P475" s="13"/>
      <c r="Q475" s="13"/>
      <c r="R475"/>
    </row>
    <row r="476" spans="1:18" ht="20.100000000000001" customHeight="1" x14ac:dyDescent="0.3">
      <c r="A476"/>
      <c r="B476"/>
      <c r="C476"/>
      <c r="D476"/>
      <c r="E476"/>
      <c r="F476"/>
      <c r="G476"/>
      <c r="H476"/>
      <c r="I476"/>
      <c r="J476"/>
      <c r="K476"/>
      <c r="L476"/>
      <c r="M476" s="18"/>
      <c r="N476"/>
      <c r="O476" s="13"/>
      <c r="P476" s="13"/>
      <c r="Q476" s="13"/>
      <c r="R476"/>
    </row>
    <row r="477" spans="1:18" ht="20.100000000000001" customHeight="1" x14ac:dyDescent="0.3">
      <c r="A477"/>
      <c r="B477"/>
      <c r="C477"/>
      <c r="D477"/>
      <c r="E477"/>
      <c r="F477"/>
      <c r="G477"/>
      <c r="H477"/>
      <c r="I477"/>
      <c r="J477"/>
      <c r="K477"/>
      <c r="L477"/>
      <c r="M477" s="18"/>
      <c r="N477"/>
      <c r="O477" s="13"/>
      <c r="P477" s="13"/>
      <c r="Q477" s="13"/>
      <c r="R477"/>
    </row>
    <row r="478" spans="1:18" ht="20.100000000000001" customHeight="1" x14ac:dyDescent="0.3">
      <c r="A478"/>
      <c r="B478"/>
      <c r="C478"/>
      <c r="D478"/>
      <c r="E478"/>
      <c r="F478"/>
      <c r="G478"/>
      <c r="H478"/>
      <c r="I478"/>
      <c r="J478"/>
      <c r="K478"/>
      <c r="L478"/>
      <c r="M478" s="18"/>
      <c r="N478"/>
      <c r="O478" s="13"/>
      <c r="P478" s="13"/>
      <c r="Q478" s="13"/>
      <c r="R478"/>
    </row>
    <row r="479" spans="1:18" ht="20.100000000000001" customHeight="1" x14ac:dyDescent="0.3">
      <c r="A479"/>
      <c r="B479"/>
      <c r="C479"/>
      <c r="D479"/>
      <c r="E479"/>
      <c r="F479"/>
      <c r="G479"/>
      <c r="H479"/>
      <c r="I479"/>
      <c r="J479"/>
      <c r="K479"/>
      <c r="L479"/>
      <c r="M479" s="18"/>
      <c r="N479"/>
      <c r="O479" s="13"/>
      <c r="P479" s="13"/>
      <c r="Q479" s="13"/>
      <c r="R479"/>
    </row>
    <row r="480" spans="1:18" ht="20.100000000000001" customHeight="1" x14ac:dyDescent="0.3">
      <c r="A480"/>
      <c r="B480"/>
      <c r="C480"/>
      <c r="D480"/>
      <c r="E480"/>
      <c r="F480"/>
      <c r="G480"/>
      <c r="H480"/>
      <c r="I480"/>
      <c r="J480"/>
      <c r="K480"/>
      <c r="L480"/>
      <c r="M480" s="18"/>
      <c r="N480"/>
      <c r="O480" s="13"/>
      <c r="P480" s="13"/>
      <c r="Q480" s="13"/>
      <c r="R480"/>
    </row>
    <row r="481" spans="1:18" ht="20.100000000000001" customHeight="1" x14ac:dyDescent="0.3">
      <c r="A481"/>
      <c r="B481"/>
      <c r="C481"/>
      <c r="D481"/>
      <c r="E481"/>
      <c r="F481"/>
      <c r="G481"/>
      <c r="H481"/>
      <c r="I481"/>
      <c r="J481"/>
      <c r="K481"/>
      <c r="L481"/>
      <c r="M481" s="18"/>
      <c r="N481"/>
      <c r="O481" s="13"/>
      <c r="P481" s="13"/>
      <c r="Q481" s="13"/>
      <c r="R481"/>
    </row>
    <row r="482" spans="1:18" ht="20.100000000000001" customHeight="1" x14ac:dyDescent="0.3">
      <c r="A482"/>
      <c r="B482"/>
      <c r="C482"/>
      <c r="D482"/>
      <c r="E482"/>
      <c r="F482"/>
      <c r="G482"/>
      <c r="H482"/>
      <c r="I482"/>
      <c r="J482"/>
      <c r="K482"/>
      <c r="L482"/>
      <c r="M482" s="18"/>
      <c r="N482"/>
      <c r="O482" s="13"/>
      <c r="P482" s="13"/>
      <c r="Q482" s="13"/>
      <c r="R482"/>
    </row>
    <row r="483" spans="1:18" ht="20.100000000000001" customHeight="1" x14ac:dyDescent="0.3">
      <c r="A483"/>
      <c r="B483"/>
      <c r="C483"/>
      <c r="D483"/>
      <c r="E483"/>
      <c r="F483"/>
      <c r="G483"/>
      <c r="H483"/>
      <c r="I483"/>
      <c r="J483"/>
      <c r="K483"/>
      <c r="L483"/>
      <c r="M483" s="18"/>
      <c r="N483"/>
      <c r="O483" s="13"/>
      <c r="P483" s="13"/>
      <c r="Q483" s="13"/>
      <c r="R483"/>
    </row>
    <row r="484" spans="1:18" ht="20.100000000000001" customHeight="1" x14ac:dyDescent="0.3">
      <c r="A484"/>
      <c r="B484"/>
      <c r="C484"/>
      <c r="D484"/>
      <c r="E484"/>
      <c r="F484"/>
      <c r="G484"/>
      <c r="H484"/>
      <c r="I484"/>
      <c r="J484"/>
      <c r="K484"/>
      <c r="L484"/>
      <c r="M484" s="18"/>
      <c r="N484"/>
      <c r="O484" s="13"/>
      <c r="P484" s="13"/>
      <c r="Q484" s="13"/>
      <c r="R484"/>
    </row>
    <row r="485" spans="1:18" ht="20.100000000000001" customHeight="1" x14ac:dyDescent="0.3">
      <c r="A485"/>
      <c r="B485"/>
      <c r="C485"/>
      <c r="D485"/>
      <c r="E485"/>
      <c r="F485"/>
      <c r="G485"/>
      <c r="H485"/>
      <c r="I485"/>
      <c r="J485"/>
      <c r="K485"/>
      <c r="L485"/>
      <c r="M485" s="18"/>
      <c r="N485"/>
      <c r="O485" s="13"/>
      <c r="P485" s="13"/>
      <c r="Q485" s="13"/>
      <c r="R485"/>
    </row>
    <row r="486" spans="1:18" ht="20.100000000000001" customHeight="1" x14ac:dyDescent="0.3">
      <c r="A486"/>
      <c r="B486"/>
      <c r="C486"/>
      <c r="D486"/>
      <c r="E486"/>
      <c r="F486"/>
      <c r="G486"/>
      <c r="H486"/>
      <c r="I486"/>
      <c r="J486"/>
      <c r="K486"/>
      <c r="L486"/>
      <c r="M486" s="18"/>
      <c r="N486"/>
      <c r="O486" s="13"/>
      <c r="P486" s="13"/>
      <c r="Q486" s="13"/>
      <c r="R486"/>
    </row>
    <row r="487" spans="1:18" ht="20.100000000000001" customHeight="1" x14ac:dyDescent="0.3">
      <c r="A487"/>
      <c r="B487"/>
      <c r="C487"/>
      <c r="D487"/>
      <c r="E487"/>
      <c r="F487"/>
      <c r="G487"/>
      <c r="H487"/>
      <c r="I487"/>
      <c r="J487"/>
      <c r="K487"/>
      <c r="L487"/>
      <c r="M487" s="18"/>
      <c r="N487"/>
      <c r="O487" s="13"/>
      <c r="P487" s="13"/>
      <c r="Q487" s="13"/>
      <c r="R487"/>
    </row>
    <row r="488" spans="1:18" ht="20.100000000000001" customHeight="1" x14ac:dyDescent="0.3">
      <c r="A488"/>
      <c r="B488"/>
      <c r="C488"/>
      <c r="D488"/>
      <c r="E488"/>
      <c r="F488"/>
      <c r="G488"/>
      <c r="H488"/>
      <c r="I488"/>
      <c r="J488"/>
      <c r="K488"/>
      <c r="L488"/>
      <c r="M488" s="18"/>
      <c r="N488"/>
      <c r="O488" s="13"/>
      <c r="P488" s="13"/>
      <c r="Q488" s="13"/>
      <c r="R488"/>
    </row>
    <row r="489" spans="1:18" ht="20.100000000000001" customHeight="1" x14ac:dyDescent="0.3">
      <c r="A489"/>
      <c r="B489"/>
      <c r="C489"/>
      <c r="D489"/>
      <c r="E489"/>
      <c r="F489"/>
      <c r="G489"/>
      <c r="H489"/>
      <c r="I489"/>
      <c r="J489"/>
      <c r="K489"/>
      <c r="L489"/>
      <c r="M489" s="18"/>
      <c r="N489"/>
      <c r="O489" s="13"/>
      <c r="P489" s="13"/>
      <c r="Q489" s="13"/>
      <c r="R489"/>
    </row>
    <row r="490" spans="1:18" ht="20.100000000000001" customHeight="1" x14ac:dyDescent="0.3">
      <c r="A490"/>
      <c r="B490"/>
      <c r="C490"/>
      <c r="D490"/>
      <c r="E490"/>
      <c r="F490"/>
      <c r="G490"/>
      <c r="H490"/>
      <c r="I490"/>
      <c r="J490"/>
      <c r="K490"/>
      <c r="L490"/>
      <c r="M490" s="18"/>
      <c r="N490"/>
      <c r="O490" s="13"/>
      <c r="P490" s="13"/>
      <c r="Q490" s="13"/>
      <c r="R490"/>
    </row>
    <row r="491" spans="1:18" ht="20.100000000000001" customHeight="1" x14ac:dyDescent="0.3">
      <c r="A491"/>
      <c r="B491"/>
      <c r="C491"/>
      <c r="D491"/>
      <c r="E491"/>
      <c r="F491"/>
      <c r="G491"/>
      <c r="H491"/>
      <c r="I491"/>
      <c r="J491"/>
      <c r="K491"/>
      <c r="L491"/>
      <c r="M491" s="18"/>
      <c r="N491"/>
      <c r="O491" s="13"/>
      <c r="P491" s="13"/>
      <c r="Q491" s="13"/>
      <c r="R491"/>
    </row>
    <row r="492" spans="1:18" ht="20.100000000000001" customHeight="1" x14ac:dyDescent="0.3">
      <c r="A492"/>
      <c r="B492"/>
      <c r="C492"/>
      <c r="D492"/>
      <c r="E492"/>
      <c r="F492"/>
      <c r="G492"/>
      <c r="H492"/>
      <c r="I492"/>
      <c r="J492"/>
      <c r="K492"/>
      <c r="L492"/>
      <c r="M492" s="18"/>
      <c r="N492"/>
      <c r="O492" s="13"/>
      <c r="P492" s="13"/>
      <c r="Q492" s="13"/>
      <c r="R492"/>
    </row>
    <row r="493" spans="1:18" ht="20.100000000000001" customHeight="1" x14ac:dyDescent="0.3">
      <c r="A493"/>
      <c r="B493"/>
      <c r="C493"/>
      <c r="D493"/>
      <c r="E493"/>
      <c r="F493"/>
      <c r="G493"/>
      <c r="H493"/>
      <c r="I493"/>
      <c r="J493"/>
      <c r="K493"/>
      <c r="L493"/>
      <c r="M493" s="18"/>
      <c r="N493"/>
      <c r="O493" s="13"/>
      <c r="P493" s="13"/>
      <c r="Q493" s="13"/>
      <c r="R493"/>
    </row>
    <row r="494" spans="1:18" ht="20.100000000000001" customHeight="1" x14ac:dyDescent="0.3">
      <c r="A494"/>
      <c r="B494"/>
      <c r="C494"/>
      <c r="D494"/>
      <c r="E494"/>
      <c r="F494"/>
      <c r="G494"/>
      <c r="H494"/>
      <c r="I494"/>
      <c r="J494"/>
      <c r="K494"/>
      <c r="L494"/>
      <c r="M494" s="18"/>
      <c r="N494"/>
      <c r="O494" s="13"/>
      <c r="P494" s="13"/>
      <c r="Q494" s="13"/>
      <c r="R494"/>
    </row>
    <row r="495" spans="1:18" ht="20.100000000000001" customHeight="1" x14ac:dyDescent="0.3">
      <c r="A495"/>
      <c r="B495"/>
      <c r="C495"/>
      <c r="D495"/>
      <c r="E495"/>
      <c r="F495"/>
      <c r="G495"/>
      <c r="H495"/>
      <c r="I495"/>
      <c r="J495"/>
      <c r="K495"/>
      <c r="L495"/>
      <c r="M495" s="18"/>
      <c r="N495"/>
      <c r="O495" s="13"/>
      <c r="P495" s="13"/>
      <c r="Q495" s="13"/>
      <c r="R495"/>
    </row>
    <row r="496" spans="1:18" ht="20.100000000000001" customHeight="1" x14ac:dyDescent="0.3">
      <c r="A496"/>
      <c r="B496"/>
      <c r="C496"/>
      <c r="D496"/>
      <c r="E496"/>
      <c r="F496"/>
      <c r="G496"/>
      <c r="H496"/>
      <c r="I496"/>
      <c r="J496"/>
      <c r="K496"/>
      <c r="L496"/>
      <c r="M496" s="18"/>
      <c r="N496"/>
      <c r="O496" s="13"/>
      <c r="P496" s="13"/>
      <c r="Q496" s="13"/>
      <c r="R496"/>
    </row>
    <row r="497" spans="1:18" ht="20.100000000000001" customHeight="1" x14ac:dyDescent="0.3">
      <c r="A497"/>
      <c r="B497"/>
      <c r="C497"/>
      <c r="D497"/>
      <c r="E497"/>
      <c r="F497"/>
      <c r="G497"/>
      <c r="H497"/>
      <c r="I497"/>
      <c r="J497"/>
      <c r="K497"/>
      <c r="L497"/>
      <c r="M497" s="18"/>
      <c r="N497"/>
      <c r="O497" s="13"/>
      <c r="P497" s="13"/>
      <c r="Q497" s="13"/>
      <c r="R497"/>
    </row>
    <row r="498" spans="1:18" ht="20.100000000000001" customHeight="1" x14ac:dyDescent="0.3">
      <c r="A498"/>
      <c r="B498"/>
      <c r="C498"/>
      <c r="D498"/>
      <c r="E498"/>
      <c r="F498"/>
      <c r="G498"/>
      <c r="H498"/>
      <c r="I498"/>
      <c r="J498"/>
      <c r="K498"/>
      <c r="L498"/>
      <c r="M498" s="18"/>
      <c r="N498"/>
      <c r="O498" s="13"/>
      <c r="P498" s="13"/>
      <c r="Q498" s="13"/>
      <c r="R498"/>
    </row>
    <row r="499" spans="1:18" ht="20.100000000000001" customHeight="1" x14ac:dyDescent="0.3">
      <c r="A499"/>
      <c r="B499"/>
      <c r="C499"/>
      <c r="D499"/>
      <c r="E499"/>
      <c r="F499"/>
      <c r="G499"/>
      <c r="H499"/>
      <c r="I499"/>
      <c r="J499"/>
      <c r="K499"/>
      <c r="L499"/>
      <c r="M499" s="18"/>
      <c r="N499"/>
      <c r="O499" s="13"/>
      <c r="P499" s="13"/>
      <c r="Q499" s="13"/>
      <c r="R499"/>
    </row>
    <row r="500" spans="1:18" ht="20.100000000000001" customHeight="1" x14ac:dyDescent="0.3">
      <c r="A500"/>
      <c r="B500"/>
      <c r="C500"/>
      <c r="D500"/>
      <c r="E500"/>
      <c r="F500"/>
      <c r="G500"/>
      <c r="H500"/>
      <c r="I500"/>
      <c r="J500"/>
      <c r="K500"/>
      <c r="L500"/>
      <c r="M500" s="18"/>
      <c r="N500"/>
      <c r="O500" s="13"/>
      <c r="P500" s="13"/>
      <c r="Q500" s="13"/>
      <c r="R500"/>
    </row>
    <row r="501" spans="1:18" ht="20.100000000000001" customHeight="1" x14ac:dyDescent="0.3">
      <c r="A501"/>
      <c r="B501"/>
      <c r="C501"/>
      <c r="D501"/>
      <c r="E501"/>
      <c r="F501"/>
      <c r="G501"/>
      <c r="H501"/>
      <c r="I501"/>
      <c r="J501"/>
      <c r="K501"/>
      <c r="L501"/>
      <c r="M501" s="18"/>
      <c r="N501"/>
      <c r="O501" s="13"/>
      <c r="P501" s="13"/>
      <c r="Q501" s="13"/>
      <c r="R501"/>
    </row>
    <row r="502" spans="1:18" ht="20.100000000000001" customHeight="1" x14ac:dyDescent="0.3">
      <c r="A502"/>
      <c r="B502"/>
      <c r="C502"/>
      <c r="D502"/>
      <c r="E502"/>
      <c r="F502"/>
      <c r="G502"/>
      <c r="H502"/>
      <c r="I502"/>
      <c r="J502"/>
      <c r="K502"/>
      <c r="L502"/>
      <c r="M502" s="18"/>
      <c r="N502"/>
      <c r="O502" s="13"/>
      <c r="P502" s="13"/>
      <c r="Q502" s="13"/>
      <c r="R502"/>
    </row>
    <row r="503" spans="1:18" ht="20.100000000000001" customHeight="1" x14ac:dyDescent="0.3">
      <c r="A503"/>
      <c r="B503"/>
      <c r="C503"/>
      <c r="D503"/>
      <c r="E503"/>
      <c r="F503"/>
      <c r="G503"/>
      <c r="H503"/>
      <c r="I503"/>
      <c r="J503"/>
      <c r="K503"/>
      <c r="L503"/>
      <c r="M503" s="18"/>
      <c r="N503"/>
      <c r="O503" s="13"/>
      <c r="P503" s="13"/>
      <c r="Q503" s="13"/>
      <c r="R503"/>
    </row>
    <row r="504" spans="1:18" ht="20.100000000000001" customHeight="1" x14ac:dyDescent="0.3">
      <c r="A504"/>
      <c r="B504"/>
      <c r="C504"/>
      <c r="D504"/>
      <c r="E504"/>
      <c r="F504"/>
      <c r="G504"/>
      <c r="H504"/>
      <c r="I504"/>
      <c r="J504"/>
      <c r="K504"/>
      <c r="L504"/>
      <c r="M504" s="18"/>
      <c r="N504"/>
      <c r="O504" s="13"/>
      <c r="P504" s="13"/>
      <c r="Q504" s="13"/>
      <c r="R504"/>
    </row>
    <row r="505" spans="1:18" ht="20.100000000000001" customHeight="1" x14ac:dyDescent="0.3">
      <c r="A505"/>
      <c r="B505"/>
      <c r="C505"/>
      <c r="D505"/>
      <c r="E505"/>
      <c r="F505"/>
      <c r="G505"/>
      <c r="H505"/>
      <c r="I505"/>
      <c r="J505"/>
      <c r="K505"/>
      <c r="L505"/>
      <c r="M505" s="18"/>
      <c r="N505"/>
      <c r="O505" s="13"/>
      <c r="P505" s="13"/>
      <c r="Q505" s="13"/>
      <c r="R505"/>
    </row>
    <row r="506" spans="1:18" ht="20.100000000000001" customHeight="1" x14ac:dyDescent="0.3">
      <c r="A506"/>
      <c r="B506"/>
      <c r="C506"/>
      <c r="D506"/>
      <c r="E506"/>
      <c r="F506"/>
      <c r="G506"/>
      <c r="H506"/>
      <c r="I506"/>
      <c r="J506"/>
      <c r="K506"/>
      <c r="L506"/>
      <c r="M506" s="18"/>
      <c r="N506"/>
      <c r="O506" s="13"/>
      <c r="P506" s="13"/>
      <c r="Q506" s="13"/>
      <c r="R506"/>
    </row>
    <row r="507" spans="1:18" ht="20.100000000000001" customHeight="1" x14ac:dyDescent="0.3">
      <c r="A507"/>
      <c r="B507"/>
      <c r="C507"/>
      <c r="D507"/>
      <c r="E507"/>
      <c r="F507"/>
      <c r="G507"/>
      <c r="H507"/>
      <c r="I507"/>
      <c r="J507"/>
      <c r="K507"/>
      <c r="L507"/>
      <c r="M507" s="18"/>
      <c r="N507"/>
      <c r="O507" s="13"/>
      <c r="P507" s="13"/>
      <c r="Q507" s="13"/>
      <c r="R507"/>
    </row>
    <row r="508" spans="1:18" ht="20.100000000000001" customHeight="1" x14ac:dyDescent="0.3">
      <c r="A508"/>
      <c r="B508"/>
      <c r="C508"/>
      <c r="D508"/>
      <c r="E508"/>
      <c r="F508"/>
      <c r="G508"/>
      <c r="H508"/>
      <c r="I508"/>
      <c r="J508"/>
      <c r="K508"/>
      <c r="L508"/>
      <c r="M508" s="18"/>
      <c r="N508"/>
      <c r="O508" s="13"/>
      <c r="P508" s="13"/>
      <c r="Q508" s="13"/>
      <c r="R508"/>
    </row>
    <row r="509" spans="1:18" ht="20.100000000000001" customHeight="1" x14ac:dyDescent="0.3">
      <c r="A509"/>
      <c r="B509"/>
      <c r="C509"/>
      <c r="D509"/>
      <c r="E509"/>
      <c r="F509"/>
      <c r="G509"/>
      <c r="H509"/>
      <c r="I509"/>
      <c r="J509"/>
      <c r="K509"/>
      <c r="L509"/>
      <c r="M509" s="18"/>
      <c r="N509"/>
      <c r="O509" s="13"/>
      <c r="P509" s="13"/>
      <c r="Q509" s="13"/>
      <c r="R509"/>
    </row>
    <row r="510" spans="1:18" ht="20.100000000000001" customHeight="1" x14ac:dyDescent="0.3">
      <c r="A510"/>
      <c r="B510"/>
      <c r="C510"/>
      <c r="D510"/>
      <c r="E510"/>
      <c r="F510"/>
      <c r="G510"/>
      <c r="H510"/>
      <c r="I510"/>
      <c r="J510"/>
      <c r="K510"/>
      <c r="L510"/>
      <c r="M510" s="18"/>
      <c r="N510"/>
      <c r="O510" s="13"/>
      <c r="P510" s="13"/>
      <c r="Q510" s="13"/>
      <c r="R510"/>
    </row>
    <row r="511" spans="1:18" ht="20.100000000000001" customHeight="1" x14ac:dyDescent="0.3">
      <c r="A511"/>
      <c r="B511"/>
      <c r="C511"/>
      <c r="D511"/>
      <c r="E511"/>
      <c r="F511"/>
      <c r="G511"/>
      <c r="H511"/>
      <c r="I511"/>
      <c r="J511"/>
      <c r="K511"/>
      <c r="L511"/>
      <c r="M511" s="18"/>
      <c r="N511"/>
      <c r="O511" s="13"/>
      <c r="P511" s="13"/>
      <c r="Q511" s="13"/>
      <c r="R511"/>
    </row>
    <row r="512" spans="1:18" ht="20.100000000000001" customHeight="1" x14ac:dyDescent="0.3">
      <c r="A512"/>
      <c r="B512"/>
      <c r="C512"/>
      <c r="D512"/>
      <c r="E512"/>
      <c r="F512"/>
      <c r="G512"/>
      <c r="H512"/>
      <c r="I512"/>
      <c r="J512"/>
      <c r="K512"/>
      <c r="L512"/>
      <c r="M512" s="18"/>
      <c r="N512"/>
      <c r="O512" s="13"/>
      <c r="P512" s="13"/>
      <c r="Q512" s="13"/>
      <c r="R512"/>
    </row>
    <row r="513" spans="1:18" ht="20.100000000000001" customHeight="1" x14ac:dyDescent="0.3">
      <c r="A513"/>
      <c r="B513"/>
      <c r="C513"/>
      <c r="D513"/>
      <c r="E513"/>
      <c r="F513"/>
      <c r="G513"/>
      <c r="H513"/>
      <c r="I513"/>
      <c r="J513"/>
      <c r="K513"/>
      <c r="L513"/>
      <c r="M513" s="18"/>
      <c r="N513"/>
      <c r="O513" s="13"/>
      <c r="P513" s="13"/>
      <c r="Q513" s="13"/>
      <c r="R513"/>
    </row>
    <row r="514" spans="1:18" ht="20.100000000000001" customHeight="1" x14ac:dyDescent="0.3">
      <c r="A514"/>
      <c r="B514"/>
      <c r="C514"/>
      <c r="D514"/>
      <c r="E514"/>
      <c r="F514"/>
      <c r="G514"/>
      <c r="H514"/>
      <c r="I514"/>
      <c r="J514"/>
      <c r="K514"/>
      <c r="L514"/>
      <c r="M514" s="18"/>
      <c r="N514"/>
      <c r="O514" s="13"/>
      <c r="P514" s="13"/>
      <c r="Q514" s="13"/>
      <c r="R514"/>
    </row>
    <row r="515" spans="1:18" ht="20.100000000000001" customHeight="1" x14ac:dyDescent="0.3">
      <c r="A515"/>
      <c r="B515"/>
      <c r="C515"/>
      <c r="D515"/>
      <c r="E515"/>
      <c r="F515"/>
      <c r="G515"/>
      <c r="H515"/>
      <c r="I515"/>
      <c r="J515"/>
      <c r="K515"/>
      <c r="L515"/>
      <c r="M515" s="18"/>
      <c r="N515"/>
      <c r="O515" s="13"/>
      <c r="P515" s="13"/>
      <c r="Q515" s="13"/>
      <c r="R515"/>
    </row>
    <row r="516" spans="1:18" ht="20.100000000000001" customHeight="1" x14ac:dyDescent="0.3">
      <c r="A516"/>
      <c r="B516"/>
      <c r="C516"/>
      <c r="D516"/>
      <c r="E516"/>
      <c r="F516"/>
      <c r="G516"/>
      <c r="H516"/>
      <c r="I516"/>
      <c r="J516"/>
      <c r="K516"/>
      <c r="L516"/>
      <c r="M516" s="18"/>
      <c r="N516"/>
      <c r="O516" s="13"/>
      <c r="P516" s="13"/>
      <c r="Q516" s="13"/>
      <c r="R516"/>
    </row>
    <row r="517" spans="1:18" ht="20.100000000000001" customHeight="1" x14ac:dyDescent="0.3">
      <c r="A517"/>
      <c r="B517"/>
      <c r="C517"/>
      <c r="D517"/>
      <c r="E517"/>
      <c r="F517"/>
      <c r="G517"/>
      <c r="H517"/>
      <c r="I517"/>
      <c r="J517"/>
      <c r="K517"/>
      <c r="L517"/>
      <c r="M517" s="18"/>
      <c r="N517"/>
      <c r="O517" s="13"/>
      <c r="P517" s="13"/>
      <c r="Q517" s="13"/>
      <c r="R517"/>
    </row>
    <row r="518" spans="1:18" ht="20.100000000000001" customHeight="1" x14ac:dyDescent="0.3">
      <c r="A518"/>
      <c r="B518"/>
      <c r="C518"/>
      <c r="D518"/>
      <c r="E518"/>
      <c r="F518"/>
      <c r="G518"/>
      <c r="H518"/>
      <c r="I518"/>
      <c r="J518"/>
      <c r="K518"/>
      <c r="L518"/>
      <c r="M518" s="18"/>
      <c r="N518"/>
      <c r="O518" s="13"/>
      <c r="P518" s="13"/>
      <c r="Q518" s="13"/>
      <c r="R518"/>
    </row>
    <row r="519" spans="1:18" ht="20.100000000000001" customHeight="1" x14ac:dyDescent="0.3">
      <c r="A519"/>
      <c r="B519"/>
      <c r="C519"/>
      <c r="D519"/>
      <c r="E519"/>
      <c r="F519"/>
      <c r="G519"/>
      <c r="H519"/>
      <c r="I519"/>
      <c r="J519"/>
      <c r="K519"/>
      <c r="L519"/>
      <c r="M519" s="18"/>
      <c r="N519"/>
      <c r="O519" s="13"/>
      <c r="P519" s="13"/>
      <c r="Q519" s="13"/>
      <c r="R519"/>
    </row>
    <row r="520" spans="1:18" ht="20.100000000000001" customHeight="1" x14ac:dyDescent="0.3">
      <c r="A520"/>
      <c r="B520"/>
      <c r="C520"/>
      <c r="D520"/>
      <c r="E520"/>
      <c r="F520"/>
      <c r="G520"/>
      <c r="H520"/>
      <c r="I520"/>
      <c r="J520"/>
      <c r="K520"/>
      <c r="L520"/>
      <c r="M520" s="18"/>
      <c r="N520"/>
      <c r="O520" s="13"/>
      <c r="P520" s="13"/>
      <c r="Q520" s="13"/>
      <c r="R520"/>
    </row>
    <row r="521" spans="1:18" ht="20.100000000000001" customHeight="1" x14ac:dyDescent="0.3">
      <c r="A521"/>
      <c r="B521"/>
      <c r="C521"/>
      <c r="D521"/>
      <c r="E521"/>
      <c r="F521"/>
      <c r="G521"/>
      <c r="H521"/>
      <c r="I521"/>
      <c r="J521"/>
      <c r="K521"/>
      <c r="L521"/>
      <c r="M521" s="18"/>
      <c r="N521"/>
      <c r="O521" s="13"/>
      <c r="P521" s="13"/>
      <c r="Q521" s="13"/>
      <c r="R521"/>
    </row>
    <row r="522" spans="1:18" ht="20.100000000000001" customHeight="1" x14ac:dyDescent="0.3">
      <c r="A522"/>
      <c r="B522"/>
      <c r="C522"/>
      <c r="D522"/>
      <c r="E522"/>
      <c r="F522"/>
      <c r="G522"/>
      <c r="H522"/>
      <c r="I522"/>
      <c r="J522"/>
      <c r="K522"/>
      <c r="L522"/>
      <c r="M522" s="18"/>
      <c r="N522"/>
      <c r="O522" s="13"/>
      <c r="P522" s="13"/>
      <c r="Q522" s="13"/>
      <c r="R522"/>
    </row>
    <row r="523" spans="1:18" ht="20.100000000000001" customHeight="1" x14ac:dyDescent="0.3">
      <c r="A523"/>
      <c r="B523"/>
      <c r="C523"/>
      <c r="D523"/>
      <c r="E523"/>
      <c r="F523"/>
      <c r="G523"/>
      <c r="H523"/>
      <c r="I523"/>
      <c r="J523"/>
      <c r="K523"/>
      <c r="L523"/>
      <c r="M523" s="18"/>
      <c r="N523"/>
      <c r="O523" s="13"/>
      <c r="P523" s="13"/>
      <c r="Q523" s="13"/>
      <c r="R523"/>
    </row>
    <row r="524" spans="1:18" ht="20.100000000000001" customHeight="1" x14ac:dyDescent="0.3">
      <c r="A524"/>
      <c r="B524"/>
      <c r="C524"/>
      <c r="D524"/>
      <c r="E524"/>
      <c r="F524"/>
      <c r="G524"/>
      <c r="H524"/>
      <c r="I524"/>
      <c r="J524"/>
      <c r="K524"/>
      <c r="L524"/>
      <c r="M524" s="18"/>
      <c r="N524"/>
      <c r="O524" s="13"/>
      <c r="P524" s="13"/>
      <c r="Q524" s="13"/>
      <c r="R524"/>
    </row>
    <row r="525" spans="1:18" ht="20.100000000000001" customHeight="1" x14ac:dyDescent="0.3">
      <c r="A525"/>
      <c r="B525"/>
      <c r="C525"/>
      <c r="D525"/>
      <c r="E525"/>
      <c r="F525"/>
      <c r="G525"/>
      <c r="H525"/>
      <c r="I525"/>
      <c r="J525"/>
      <c r="K525"/>
      <c r="L525"/>
      <c r="M525" s="18"/>
      <c r="N525"/>
      <c r="O525" s="13"/>
      <c r="P525" s="13"/>
      <c r="Q525" s="13"/>
      <c r="R525"/>
    </row>
    <row r="526" spans="1:18" ht="20.100000000000001" customHeight="1" x14ac:dyDescent="0.3">
      <c r="A526"/>
      <c r="B526"/>
      <c r="C526"/>
      <c r="D526"/>
      <c r="E526"/>
      <c r="F526"/>
      <c r="G526"/>
      <c r="H526"/>
      <c r="I526"/>
      <c r="J526"/>
      <c r="K526"/>
      <c r="L526"/>
      <c r="M526" s="18"/>
      <c r="N526"/>
      <c r="O526" s="13"/>
      <c r="P526" s="13"/>
      <c r="Q526" s="13"/>
      <c r="R526"/>
    </row>
    <row r="527" spans="1:18" ht="20.100000000000001" customHeight="1" x14ac:dyDescent="0.3">
      <c r="A527"/>
      <c r="B527"/>
      <c r="C527"/>
      <c r="D527"/>
      <c r="E527"/>
      <c r="F527"/>
      <c r="G527"/>
      <c r="H527"/>
      <c r="I527"/>
      <c r="J527"/>
      <c r="K527"/>
      <c r="L527"/>
      <c r="M527" s="18"/>
      <c r="N527"/>
      <c r="O527" s="13"/>
      <c r="P527" s="13"/>
      <c r="Q527" s="13"/>
      <c r="R527"/>
    </row>
    <row r="528" spans="1:18" ht="20.100000000000001" customHeight="1" x14ac:dyDescent="0.3">
      <c r="A528"/>
      <c r="B528"/>
      <c r="C528"/>
      <c r="D528"/>
      <c r="E528"/>
      <c r="F528"/>
      <c r="G528"/>
      <c r="H528"/>
      <c r="I528"/>
      <c r="J528"/>
      <c r="K528"/>
      <c r="L528"/>
      <c r="M528" s="18"/>
      <c r="N528"/>
      <c r="O528" s="13"/>
      <c r="P528" s="13"/>
      <c r="Q528" s="13"/>
      <c r="R528"/>
    </row>
    <row r="529" spans="1:18" ht="20.100000000000001" customHeight="1" x14ac:dyDescent="0.3">
      <c r="A529"/>
      <c r="B529"/>
      <c r="C529"/>
      <c r="D529"/>
      <c r="E529"/>
      <c r="F529"/>
      <c r="G529"/>
      <c r="H529"/>
      <c r="I529"/>
      <c r="J529"/>
      <c r="K529"/>
      <c r="L529"/>
      <c r="M529" s="18"/>
      <c r="N529"/>
      <c r="O529" s="13"/>
      <c r="P529" s="13"/>
      <c r="Q529" s="13"/>
      <c r="R529"/>
    </row>
    <row r="530" spans="1:18" ht="20.100000000000001" customHeight="1" x14ac:dyDescent="0.3">
      <c r="A530"/>
      <c r="B530"/>
      <c r="C530"/>
      <c r="D530"/>
      <c r="E530"/>
      <c r="F530"/>
      <c r="G530"/>
      <c r="H530"/>
      <c r="I530"/>
      <c r="J530"/>
      <c r="K530"/>
      <c r="L530"/>
      <c r="M530" s="18"/>
      <c r="N530"/>
      <c r="O530" s="13"/>
      <c r="P530" s="13"/>
      <c r="Q530" s="13"/>
      <c r="R530"/>
    </row>
    <row r="531" spans="1:18" ht="20.100000000000001" customHeight="1" x14ac:dyDescent="0.3">
      <c r="A531"/>
      <c r="B531"/>
      <c r="C531"/>
      <c r="D531"/>
      <c r="E531"/>
      <c r="F531"/>
      <c r="G531"/>
      <c r="H531"/>
      <c r="I531"/>
      <c r="J531"/>
      <c r="K531"/>
      <c r="L531"/>
      <c r="M531" s="18"/>
      <c r="N531"/>
      <c r="O531" s="13"/>
      <c r="P531" s="13"/>
      <c r="Q531" s="13"/>
      <c r="R531"/>
    </row>
    <row r="532" spans="1:18" ht="20.100000000000001" customHeight="1" x14ac:dyDescent="0.3">
      <c r="A532"/>
      <c r="B532"/>
      <c r="C532"/>
      <c r="D532"/>
      <c r="E532"/>
      <c r="F532"/>
      <c r="G532"/>
      <c r="H532"/>
      <c r="I532"/>
      <c r="J532"/>
      <c r="K532"/>
      <c r="L532"/>
      <c r="M532" s="18"/>
      <c r="N532"/>
      <c r="O532" s="13"/>
      <c r="P532" s="13"/>
      <c r="Q532" s="13"/>
      <c r="R532"/>
    </row>
    <row r="533" spans="1:18" ht="20.100000000000001" customHeight="1" x14ac:dyDescent="0.3">
      <c r="A533"/>
      <c r="B533"/>
      <c r="C533"/>
      <c r="D533"/>
      <c r="E533"/>
      <c r="F533"/>
      <c r="G533"/>
      <c r="H533"/>
      <c r="I533"/>
      <c r="J533"/>
      <c r="K533"/>
      <c r="L533"/>
      <c r="M533" s="18"/>
      <c r="N533"/>
      <c r="O533" s="13"/>
      <c r="P533" s="13"/>
      <c r="Q533" s="13"/>
      <c r="R533"/>
    </row>
    <row r="534" spans="1:18" ht="20.100000000000001" customHeight="1" x14ac:dyDescent="0.3">
      <c r="A534"/>
      <c r="B534"/>
      <c r="C534"/>
      <c r="D534"/>
      <c r="E534"/>
      <c r="F534"/>
      <c r="G534"/>
      <c r="H534"/>
      <c r="I534"/>
      <c r="J534"/>
      <c r="K534"/>
      <c r="L534"/>
      <c r="M534" s="18"/>
      <c r="N534"/>
      <c r="O534" s="13"/>
      <c r="P534" s="13"/>
      <c r="Q534" s="13"/>
      <c r="R534"/>
    </row>
    <row r="535" spans="1:18" ht="20.100000000000001" customHeight="1" x14ac:dyDescent="0.3">
      <c r="A535"/>
      <c r="B535"/>
      <c r="C535"/>
      <c r="D535"/>
      <c r="E535"/>
      <c r="F535"/>
      <c r="G535"/>
      <c r="H535"/>
      <c r="I535"/>
      <c r="J535"/>
      <c r="K535"/>
      <c r="L535"/>
      <c r="M535" s="18"/>
      <c r="N535"/>
      <c r="O535" s="13"/>
      <c r="P535" s="13"/>
      <c r="Q535" s="13"/>
      <c r="R535"/>
    </row>
    <row r="536" spans="1:18" ht="20.100000000000001" customHeight="1" x14ac:dyDescent="0.3">
      <c r="A536"/>
      <c r="B536"/>
      <c r="C536"/>
      <c r="D536"/>
      <c r="E536"/>
      <c r="F536"/>
      <c r="G536"/>
      <c r="H536"/>
      <c r="I536"/>
      <c r="J536"/>
      <c r="K536"/>
      <c r="L536"/>
      <c r="M536" s="18"/>
      <c r="N536"/>
      <c r="O536" s="13"/>
      <c r="P536" s="13"/>
      <c r="Q536" s="13"/>
      <c r="R536"/>
    </row>
    <row r="537" spans="1:18" ht="20.100000000000001" customHeight="1" x14ac:dyDescent="0.3">
      <c r="A537"/>
      <c r="B537"/>
      <c r="C537"/>
      <c r="D537"/>
      <c r="E537"/>
      <c r="F537"/>
      <c r="G537"/>
      <c r="H537"/>
      <c r="I537"/>
      <c r="J537"/>
      <c r="K537"/>
      <c r="L537"/>
      <c r="M537" s="18"/>
      <c r="N537"/>
      <c r="O537" s="13"/>
      <c r="P537" s="13"/>
      <c r="Q537" s="13"/>
      <c r="R537"/>
    </row>
    <row r="538" spans="1:18" ht="20.100000000000001" customHeight="1" x14ac:dyDescent="0.3">
      <c r="A538"/>
      <c r="B538"/>
      <c r="C538"/>
      <c r="D538"/>
      <c r="E538"/>
      <c r="F538"/>
      <c r="G538"/>
      <c r="H538"/>
      <c r="I538"/>
      <c r="J538"/>
      <c r="K538"/>
      <c r="L538"/>
      <c r="M538" s="18"/>
      <c r="N538"/>
      <c r="O538" s="13"/>
      <c r="P538" s="13"/>
      <c r="Q538" s="13"/>
      <c r="R538"/>
    </row>
    <row r="539" spans="1:18" ht="20.100000000000001" customHeight="1" x14ac:dyDescent="0.3">
      <c r="A539"/>
      <c r="B539"/>
      <c r="C539"/>
      <c r="D539"/>
      <c r="E539"/>
      <c r="F539"/>
      <c r="G539"/>
      <c r="H539"/>
      <c r="I539"/>
      <c r="J539"/>
      <c r="K539"/>
      <c r="L539"/>
      <c r="M539" s="18"/>
      <c r="N539"/>
      <c r="O539" s="13"/>
      <c r="P539" s="13"/>
      <c r="Q539" s="13"/>
      <c r="R539"/>
    </row>
    <row r="540" spans="1:18" ht="20.100000000000001" customHeight="1" x14ac:dyDescent="0.3">
      <c r="A540"/>
      <c r="B540"/>
      <c r="C540"/>
      <c r="D540"/>
      <c r="E540"/>
      <c r="F540"/>
      <c r="G540"/>
      <c r="H540"/>
      <c r="I540"/>
      <c r="J540"/>
      <c r="K540"/>
      <c r="L540"/>
      <c r="M540" s="18"/>
      <c r="N540"/>
      <c r="O540" s="13"/>
      <c r="P540" s="13"/>
      <c r="Q540" s="13"/>
      <c r="R540"/>
    </row>
    <row r="541" spans="1:18" ht="20.100000000000001" customHeight="1" x14ac:dyDescent="0.3">
      <c r="A541"/>
      <c r="B541"/>
      <c r="C541"/>
      <c r="D541"/>
      <c r="E541"/>
      <c r="F541"/>
      <c r="G541"/>
      <c r="H541"/>
      <c r="I541"/>
      <c r="J541"/>
      <c r="K541"/>
      <c r="L541"/>
      <c r="M541" s="18"/>
      <c r="N541"/>
      <c r="O541" s="13"/>
      <c r="P541" s="13"/>
      <c r="Q541" s="13"/>
      <c r="R541"/>
    </row>
    <row r="542" spans="1:18" ht="20.100000000000001" customHeight="1" x14ac:dyDescent="0.3">
      <c r="A542"/>
      <c r="B542"/>
      <c r="C542"/>
      <c r="D542"/>
      <c r="E542"/>
      <c r="F542"/>
      <c r="G542"/>
      <c r="H542"/>
      <c r="I542"/>
      <c r="J542"/>
      <c r="K542"/>
      <c r="L542"/>
      <c r="M542" s="18"/>
      <c r="N542"/>
      <c r="O542" s="13"/>
      <c r="P542" s="13"/>
      <c r="Q542" s="13"/>
      <c r="R542"/>
    </row>
    <row r="543" spans="1:18" ht="20.100000000000001" customHeight="1" x14ac:dyDescent="0.3">
      <c r="A543"/>
      <c r="B543"/>
      <c r="C543"/>
      <c r="D543"/>
      <c r="E543"/>
      <c r="F543"/>
      <c r="G543"/>
      <c r="H543"/>
      <c r="I543"/>
      <c r="J543"/>
      <c r="K543"/>
      <c r="L543"/>
      <c r="M543" s="18"/>
      <c r="N543"/>
      <c r="O543" s="13"/>
      <c r="P543" s="13"/>
      <c r="Q543" s="13"/>
      <c r="R543"/>
    </row>
    <row r="544" spans="1:18" ht="20.100000000000001" customHeight="1" x14ac:dyDescent="0.3">
      <c r="A544"/>
      <c r="B544"/>
      <c r="C544"/>
      <c r="D544"/>
      <c r="E544"/>
      <c r="F544"/>
      <c r="G544"/>
      <c r="H544"/>
      <c r="I544"/>
      <c r="J544"/>
      <c r="K544"/>
      <c r="L544"/>
      <c r="M544" s="18"/>
      <c r="N544"/>
      <c r="O544" s="13"/>
      <c r="P544" s="13"/>
      <c r="Q544" s="13"/>
      <c r="R544"/>
    </row>
    <row r="545" spans="1:18" ht="20.100000000000001" customHeight="1" x14ac:dyDescent="0.3">
      <c r="A545"/>
      <c r="B545"/>
      <c r="C545"/>
      <c r="D545"/>
      <c r="E545"/>
      <c r="F545"/>
      <c r="G545"/>
      <c r="H545"/>
      <c r="I545"/>
      <c r="J545"/>
      <c r="K545"/>
      <c r="L545"/>
      <c r="M545" s="18"/>
      <c r="N545"/>
      <c r="O545" s="13"/>
      <c r="P545" s="13"/>
      <c r="Q545" s="13"/>
      <c r="R545"/>
    </row>
    <row r="546" spans="1:18" ht="20.100000000000001" customHeight="1" x14ac:dyDescent="0.3">
      <c r="A546"/>
      <c r="B546"/>
      <c r="C546"/>
      <c r="D546"/>
      <c r="E546"/>
      <c r="F546"/>
      <c r="G546"/>
      <c r="H546"/>
      <c r="I546"/>
      <c r="J546"/>
      <c r="K546"/>
      <c r="L546"/>
      <c r="M546" s="18"/>
      <c r="N546"/>
      <c r="O546" s="13"/>
      <c r="P546" s="13"/>
      <c r="Q546" s="13"/>
      <c r="R546"/>
    </row>
    <row r="547" spans="1:18" ht="20.100000000000001" customHeight="1" x14ac:dyDescent="0.3">
      <c r="A547"/>
      <c r="B547"/>
      <c r="C547"/>
      <c r="D547"/>
      <c r="E547"/>
      <c r="F547"/>
      <c r="G547"/>
      <c r="H547"/>
      <c r="I547"/>
      <c r="J547"/>
      <c r="K547"/>
      <c r="L547"/>
      <c r="M547" s="18"/>
      <c r="N547"/>
      <c r="O547" s="13"/>
      <c r="P547" s="13"/>
      <c r="Q547" s="13"/>
      <c r="R547"/>
    </row>
    <row r="548" spans="1:18" ht="20.100000000000001" customHeight="1" x14ac:dyDescent="0.3">
      <c r="A548"/>
      <c r="B548"/>
      <c r="C548"/>
      <c r="D548"/>
      <c r="E548"/>
      <c r="F548"/>
      <c r="G548"/>
      <c r="H548"/>
      <c r="I548"/>
      <c r="J548"/>
      <c r="K548"/>
      <c r="L548"/>
      <c r="M548" s="18"/>
      <c r="N548"/>
      <c r="O548" s="13"/>
      <c r="P548" s="13"/>
      <c r="Q548" s="13"/>
      <c r="R548"/>
    </row>
    <row r="549" spans="1:18" ht="20.100000000000001" customHeight="1" x14ac:dyDescent="0.3">
      <c r="A549"/>
      <c r="B549"/>
      <c r="C549"/>
      <c r="D549"/>
      <c r="E549"/>
      <c r="F549"/>
      <c r="G549"/>
      <c r="H549"/>
      <c r="I549"/>
      <c r="J549"/>
      <c r="K549"/>
      <c r="L549"/>
      <c r="M549" s="18"/>
      <c r="N549"/>
      <c r="O549" s="13"/>
      <c r="P549" s="13"/>
      <c r="Q549" s="13"/>
      <c r="R549"/>
    </row>
    <row r="550" spans="1:18" ht="20.100000000000001" customHeight="1" x14ac:dyDescent="0.3">
      <c r="A550"/>
      <c r="B550"/>
      <c r="C550"/>
      <c r="D550"/>
      <c r="E550"/>
      <c r="F550"/>
      <c r="G550"/>
      <c r="H550"/>
      <c r="I550"/>
      <c r="J550"/>
      <c r="K550"/>
      <c r="L550"/>
      <c r="M550" s="18"/>
      <c r="N550"/>
      <c r="O550" s="13"/>
      <c r="P550" s="13"/>
      <c r="Q550" s="13"/>
      <c r="R550"/>
    </row>
    <row r="551" spans="1:18" ht="20.100000000000001" customHeight="1" x14ac:dyDescent="0.3">
      <c r="A551"/>
      <c r="B551"/>
      <c r="C551"/>
      <c r="D551"/>
      <c r="E551"/>
      <c r="F551"/>
      <c r="G551"/>
      <c r="H551"/>
      <c r="I551"/>
      <c r="J551"/>
      <c r="K551"/>
      <c r="L551"/>
      <c r="M551" s="18"/>
      <c r="N551"/>
      <c r="O551" s="13"/>
      <c r="P551" s="13"/>
      <c r="Q551" s="13"/>
      <c r="R551"/>
    </row>
    <row r="552" spans="1:18" ht="20.100000000000001" customHeight="1" x14ac:dyDescent="0.3">
      <c r="A552"/>
      <c r="B552"/>
      <c r="C552"/>
      <c r="D552"/>
      <c r="E552"/>
      <c r="F552"/>
      <c r="G552"/>
      <c r="H552"/>
      <c r="I552"/>
      <c r="J552"/>
      <c r="K552"/>
      <c r="L552"/>
      <c r="M552" s="18"/>
      <c r="N552"/>
      <c r="O552" s="13"/>
      <c r="P552" s="13"/>
      <c r="Q552" s="13"/>
      <c r="R552"/>
    </row>
    <row r="553" spans="1:18" ht="20.100000000000001" customHeight="1" x14ac:dyDescent="0.3">
      <c r="A553"/>
      <c r="B553"/>
      <c r="C553"/>
      <c r="D553"/>
      <c r="E553"/>
      <c r="F553"/>
      <c r="G553"/>
      <c r="H553"/>
      <c r="I553"/>
      <c r="J553"/>
      <c r="K553"/>
      <c r="L553"/>
      <c r="M553" s="18"/>
      <c r="N553"/>
      <c r="O553" s="13"/>
      <c r="P553" s="13"/>
      <c r="Q553" s="13"/>
      <c r="R553"/>
    </row>
    <row r="554" spans="1:18" ht="20.100000000000001" customHeight="1" x14ac:dyDescent="0.3">
      <c r="A554"/>
      <c r="B554"/>
      <c r="C554"/>
      <c r="D554"/>
      <c r="E554"/>
      <c r="F554"/>
      <c r="G554"/>
      <c r="H554"/>
      <c r="I554"/>
      <c r="J554"/>
      <c r="K554"/>
      <c r="L554"/>
      <c r="M554" s="18"/>
      <c r="N554"/>
      <c r="O554" s="13"/>
      <c r="P554" s="13"/>
      <c r="Q554" s="13"/>
      <c r="R554"/>
    </row>
    <row r="555" spans="1:18" ht="20.100000000000001" customHeight="1" x14ac:dyDescent="0.3">
      <c r="A555"/>
      <c r="B555"/>
      <c r="C555"/>
      <c r="D555"/>
      <c r="E555"/>
      <c r="F555"/>
      <c r="G555"/>
      <c r="H555"/>
      <c r="I555"/>
      <c r="J555"/>
      <c r="K555"/>
      <c r="L555"/>
      <c r="M555" s="18"/>
      <c r="N555"/>
      <c r="O555" s="13"/>
      <c r="P555" s="13"/>
      <c r="Q555" s="13"/>
      <c r="R555"/>
    </row>
    <row r="556" spans="1:18" ht="20.100000000000001" customHeight="1" x14ac:dyDescent="0.3">
      <c r="A556"/>
      <c r="B556"/>
      <c r="C556"/>
      <c r="D556"/>
      <c r="E556"/>
      <c r="F556"/>
      <c r="G556"/>
      <c r="H556"/>
      <c r="I556"/>
      <c r="J556"/>
      <c r="K556"/>
      <c r="L556"/>
      <c r="M556" s="18"/>
      <c r="N556"/>
      <c r="O556" s="13"/>
      <c r="P556" s="13"/>
      <c r="Q556" s="13"/>
      <c r="R556"/>
    </row>
    <row r="557" spans="1:18" ht="20.100000000000001" customHeight="1" x14ac:dyDescent="0.3">
      <c r="A557"/>
      <c r="B557"/>
      <c r="C557"/>
      <c r="D557"/>
      <c r="E557"/>
      <c r="F557"/>
      <c r="G557"/>
      <c r="H557"/>
      <c r="I557"/>
      <c r="J557"/>
      <c r="K557"/>
      <c r="L557"/>
      <c r="M557" s="18"/>
      <c r="N557"/>
      <c r="O557" s="13"/>
      <c r="P557" s="13"/>
      <c r="Q557" s="13"/>
      <c r="R557"/>
    </row>
    <row r="558" spans="1:18" ht="20.100000000000001" customHeight="1" x14ac:dyDescent="0.3">
      <c r="A558"/>
      <c r="B558"/>
      <c r="C558"/>
      <c r="D558"/>
      <c r="E558"/>
      <c r="F558"/>
      <c r="G558"/>
      <c r="H558"/>
      <c r="I558"/>
      <c r="J558"/>
      <c r="K558"/>
      <c r="L558"/>
      <c r="M558" s="18"/>
      <c r="N558"/>
      <c r="O558" s="13"/>
      <c r="P558" s="13"/>
      <c r="Q558" s="13"/>
      <c r="R558"/>
    </row>
    <row r="559" spans="1:18" ht="20.100000000000001" customHeight="1" x14ac:dyDescent="0.3">
      <c r="A559"/>
      <c r="B559"/>
      <c r="C559"/>
      <c r="D559"/>
      <c r="E559"/>
      <c r="F559"/>
      <c r="G559"/>
      <c r="H559"/>
      <c r="I559"/>
      <c r="J559"/>
      <c r="K559"/>
      <c r="L559"/>
      <c r="M559" s="18"/>
      <c r="N559"/>
      <c r="O559" s="13"/>
      <c r="P559" s="13"/>
      <c r="Q559" s="13"/>
      <c r="R559"/>
    </row>
    <row r="560" spans="1:18" ht="20.100000000000001" customHeight="1" x14ac:dyDescent="0.3">
      <c r="A560"/>
      <c r="B560"/>
      <c r="C560"/>
      <c r="D560"/>
      <c r="E560"/>
      <c r="F560"/>
      <c r="G560"/>
      <c r="H560"/>
      <c r="I560"/>
      <c r="J560"/>
      <c r="K560"/>
      <c r="L560"/>
      <c r="M560" s="18"/>
      <c r="N560"/>
      <c r="O560" s="13"/>
      <c r="P560" s="13"/>
      <c r="Q560" s="13"/>
      <c r="R560"/>
    </row>
    <row r="561" spans="1:18" ht="20.100000000000001" customHeight="1" x14ac:dyDescent="0.3">
      <c r="A561"/>
      <c r="B561"/>
      <c r="C561"/>
      <c r="D561"/>
      <c r="E561"/>
      <c r="F561"/>
      <c r="G561"/>
      <c r="H561"/>
      <c r="I561"/>
      <c r="J561"/>
      <c r="K561"/>
      <c r="L561"/>
      <c r="M561" s="18"/>
      <c r="N561"/>
      <c r="O561" s="13"/>
      <c r="P561" s="13"/>
      <c r="Q561" s="13"/>
      <c r="R561"/>
    </row>
    <row r="562" spans="1:18" ht="20.100000000000001" customHeight="1" x14ac:dyDescent="0.3">
      <c r="A562"/>
      <c r="B562"/>
      <c r="C562"/>
      <c r="D562"/>
      <c r="E562"/>
      <c r="F562"/>
      <c r="G562"/>
      <c r="H562"/>
      <c r="I562"/>
      <c r="J562"/>
      <c r="K562"/>
      <c r="L562"/>
      <c r="M562" s="18"/>
      <c r="N562"/>
      <c r="O562" s="13"/>
      <c r="P562" s="13"/>
      <c r="Q562" s="13"/>
      <c r="R562"/>
    </row>
    <row r="563" spans="1:18" ht="20.100000000000001" customHeight="1" x14ac:dyDescent="0.3">
      <c r="A563"/>
      <c r="B563"/>
      <c r="C563"/>
      <c r="D563"/>
      <c r="E563"/>
      <c r="F563"/>
      <c r="G563"/>
      <c r="H563"/>
      <c r="I563"/>
      <c r="J563"/>
      <c r="K563"/>
      <c r="L563"/>
      <c r="M563" s="18"/>
      <c r="N563"/>
      <c r="O563" s="13"/>
      <c r="P563" s="13"/>
      <c r="Q563" s="13"/>
      <c r="R563"/>
    </row>
    <row r="564" spans="1:18" ht="20.100000000000001" customHeight="1" x14ac:dyDescent="0.3">
      <c r="A564"/>
      <c r="B564"/>
      <c r="C564"/>
      <c r="D564"/>
      <c r="E564"/>
      <c r="F564"/>
      <c r="G564"/>
      <c r="H564"/>
      <c r="I564"/>
      <c r="J564"/>
      <c r="K564"/>
      <c r="L564"/>
      <c r="M564" s="18"/>
      <c r="N564"/>
      <c r="O564" s="13"/>
      <c r="P564" s="13"/>
      <c r="Q564" s="13"/>
      <c r="R564"/>
    </row>
    <row r="565" spans="1:18" ht="20.100000000000001" customHeight="1" x14ac:dyDescent="0.3">
      <c r="A565"/>
      <c r="B565"/>
      <c r="C565"/>
      <c r="D565"/>
      <c r="E565"/>
      <c r="F565"/>
      <c r="G565"/>
      <c r="H565"/>
      <c r="I565"/>
      <c r="J565"/>
      <c r="K565"/>
      <c r="L565"/>
      <c r="M565" s="18"/>
      <c r="N565"/>
      <c r="O565" s="13"/>
      <c r="P565" s="13"/>
      <c r="Q565" s="13"/>
      <c r="R565"/>
    </row>
    <row r="566" spans="1:18" ht="20.100000000000001" customHeight="1" x14ac:dyDescent="0.3">
      <c r="A566"/>
      <c r="B566"/>
      <c r="C566"/>
      <c r="D566"/>
      <c r="E566"/>
      <c r="F566"/>
      <c r="G566"/>
      <c r="H566"/>
      <c r="I566"/>
      <c r="J566"/>
      <c r="K566"/>
      <c r="L566"/>
      <c r="M566" s="18"/>
      <c r="N566"/>
      <c r="O566" s="13"/>
      <c r="P566" s="13"/>
      <c r="Q566" s="13"/>
      <c r="R566"/>
    </row>
    <row r="567" spans="1:18" ht="20.100000000000001" customHeight="1" x14ac:dyDescent="0.3">
      <c r="A567"/>
      <c r="B567"/>
      <c r="C567"/>
      <c r="D567"/>
      <c r="E567"/>
      <c r="F567"/>
      <c r="G567"/>
      <c r="H567"/>
      <c r="I567"/>
      <c r="J567"/>
      <c r="K567"/>
      <c r="L567"/>
      <c r="M567" s="18"/>
      <c r="N567"/>
      <c r="O567" s="13"/>
      <c r="P567" s="13"/>
      <c r="Q567" s="13"/>
      <c r="R567"/>
    </row>
    <row r="568" spans="1:18" ht="20.100000000000001" customHeight="1" x14ac:dyDescent="0.3">
      <c r="A568"/>
      <c r="B568"/>
      <c r="C568"/>
      <c r="D568"/>
      <c r="E568"/>
      <c r="F568"/>
      <c r="G568"/>
      <c r="H568"/>
      <c r="I568"/>
      <c r="J568"/>
      <c r="K568"/>
      <c r="L568"/>
      <c r="M568" s="18"/>
      <c r="N568"/>
      <c r="O568" s="13"/>
      <c r="P568" s="13"/>
      <c r="Q568" s="13"/>
      <c r="R568"/>
    </row>
    <row r="569" spans="1:18" ht="20.100000000000001" customHeight="1" x14ac:dyDescent="0.3">
      <c r="A569"/>
      <c r="B569"/>
      <c r="C569"/>
      <c r="D569"/>
      <c r="E569"/>
      <c r="F569"/>
      <c r="G569"/>
      <c r="H569"/>
      <c r="I569"/>
      <c r="J569"/>
      <c r="K569"/>
      <c r="L569"/>
      <c r="M569" s="18"/>
      <c r="N569"/>
      <c r="O569" s="13"/>
      <c r="P569" s="13"/>
      <c r="Q569" s="13"/>
      <c r="R569"/>
    </row>
    <row r="570" spans="1:18" ht="20.100000000000001" customHeight="1" x14ac:dyDescent="0.3">
      <c r="A570"/>
      <c r="B570"/>
      <c r="C570"/>
      <c r="D570"/>
      <c r="E570"/>
      <c r="F570"/>
      <c r="G570"/>
      <c r="H570"/>
      <c r="I570"/>
      <c r="J570"/>
      <c r="K570"/>
      <c r="L570"/>
      <c r="M570" s="18"/>
      <c r="N570"/>
      <c r="O570" s="13"/>
      <c r="P570" s="13"/>
      <c r="Q570" s="13"/>
      <c r="R570"/>
    </row>
    <row r="571" spans="1:18" ht="20.100000000000001" customHeight="1" x14ac:dyDescent="0.3">
      <c r="A571"/>
      <c r="B571"/>
      <c r="C571"/>
      <c r="D571"/>
      <c r="E571"/>
      <c r="F571"/>
      <c r="G571"/>
      <c r="H571"/>
      <c r="I571"/>
      <c r="J571"/>
      <c r="K571"/>
      <c r="L571"/>
      <c r="M571" s="18"/>
      <c r="N571"/>
      <c r="O571" s="13"/>
      <c r="P571" s="13"/>
      <c r="Q571" s="13"/>
      <c r="R571"/>
    </row>
    <row r="572" spans="1:18" ht="20.100000000000001" customHeight="1" x14ac:dyDescent="0.3">
      <c r="A572"/>
      <c r="B572"/>
      <c r="C572"/>
      <c r="D572"/>
      <c r="E572"/>
      <c r="F572"/>
      <c r="G572"/>
      <c r="H572"/>
      <c r="I572"/>
      <c r="J572"/>
      <c r="K572"/>
      <c r="L572"/>
      <c r="M572" s="18"/>
      <c r="N572"/>
      <c r="O572" s="13"/>
      <c r="P572" s="13"/>
      <c r="Q572" s="13"/>
      <c r="R572"/>
    </row>
    <row r="573" spans="1:18" ht="20.100000000000001" customHeight="1" x14ac:dyDescent="0.3">
      <c r="A573"/>
      <c r="B573"/>
      <c r="C573"/>
      <c r="D573"/>
      <c r="E573"/>
      <c r="F573"/>
      <c r="G573"/>
      <c r="H573"/>
      <c r="I573"/>
      <c r="J573"/>
      <c r="K573"/>
      <c r="L573"/>
      <c r="M573" s="18"/>
      <c r="N573"/>
      <c r="O573" s="13"/>
      <c r="P573" s="13"/>
      <c r="Q573" s="13"/>
      <c r="R573"/>
    </row>
    <row r="574" spans="1:18" ht="20.100000000000001" customHeight="1" x14ac:dyDescent="0.3">
      <c r="A574"/>
      <c r="B574"/>
      <c r="C574"/>
      <c r="D574"/>
      <c r="E574"/>
      <c r="F574"/>
      <c r="G574"/>
      <c r="H574"/>
      <c r="I574"/>
      <c r="J574"/>
      <c r="K574"/>
      <c r="L574"/>
      <c r="M574" s="18"/>
      <c r="N574"/>
      <c r="O574" s="13"/>
      <c r="P574" s="13"/>
      <c r="Q574" s="13"/>
      <c r="R574"/>
    </row>
    <row r="575" spans="1:18" ht="20.100000000000001" customHeight="1" x14ac:dyDescent="0.3">
      <c r="A575"/>
      <c r="B575"/>
      <c r="C575"/>
      <c r="D575"/>
      <c r="E575"/>
      <c r="F575"/>
      <c r="G575"/>
      <c r="H575"/>
      <c r="I575"/>
      <c r="J575"/>
      <c r="K575"/>
      <c r="L575"/>
      <c r="M575" s="18"/>
      <c r="N575"/>
      <c r="O575" s="13"/>
      <c r="P575" s="13"/>
      <c r="Q575" s="13"/>
      <c r="R575"/>
    </row>
    <row r="576" spans="1:18" ht="20.100000000000001" customHeight="1" x14ac:dyDescent="0.3">
      <c r="A576"/>
      <c r="B576"/>
      <c r="C576"/>
      <c r="D576"/>
      <c r="E576"/>
      <c r="F576"/>
      <c r="G576"/>
      <c r="H576"/>
      <c r="I576"/>
      <c r="J576"/>
      <c r="K576"/>
      <c r="L576"/>
      <c r="M576" s="18"/>
      <c r="N576"/>
      <c r="O576" s="13"/>
      <c r="P576" s="13"/>
      <c r="Q576" s="13"/>
      <c r="R576"/>
    </row>
    <row r="577" spans="1:18" ht="20.100000000000001" customHeight="1" x14ac:dyDescent="0.3">
      <c r="A577"/>
      <c r="B577"/>
      <c r="C577"/>
      <c r="D577"/>
      <c r="E577"/>
      <c r="F577"/>
      <c r="G577"/>
      <c r="H577"/>
      <c r="I577"/>
      <c r="J577"/>
      <c r="K577"/>
      <c r="L577"/>
      <c r="M577" s="18"/>
      <c r="N577"/>
      <c r="O577" s="13"/>
      <c r="P577" s="13"/>
      <c r="Q577" s="13"/>
      <c r="R577"/>
    </row>
    <row r="578" spans="1:18" ht="20.100000000000001" customHeight="1" x14ac:dyDescent="0.3">
      <c r="A578"/>
      <c r="B578"/>
      <c r="C578"/>
      <c r="D578"/>
      <c r="E578"/>
      <c r="F578"/>
      <c r="G578"/>
      <c r="H578"/>
      <c r="I578"/>
      <c r="J578"/>
      <c r="K578"/>
      <c r="L578"/>
      <c r="M578" s="18"/>
      <c r="N578"/>
      <c r="O578" s="13"/>
      <c r="P578" s="13"/>
      <c r="Q578" s="13"/>
      <c r="R578"/>
    </row>
    <row r="579" spans="1:18" ht="20.100000000000001" customHeight="1" x14ac:dyDescent="0.3">
      <c r="A579"/>
      <c r="B579"/>
      <c r="C579"/>
      <c r="D579"/>
      <c r="E579"/>
      <c r="F579"/>
      <c r="G579"/>
      <c r="H579"/>
      <c r="I579"/>
      <c r="J579"/>
      <c r="K579"/>
      <c r="L579"/>
      <c r="M579" s="18"/>
      <c r="N579"/>
      <c r="O579" s="13"/>
      <c r="P579" s="13"/>
      <c r="Q579" s="13"/>
      <c r="R579"/>
    </row>
    <row r="580" spans="1:18" ht="20.100000000000001" customHeight="1" x14ac:dyDescent="0.3">
      <c r="A580"/>
      <c r="B580"/>
      <c r="C580"/>
      <c r="D580"/>
      <c r="E580"/>
      <c r="F580"/>
      <c r="G580"/>
      <c r="H580"/>
      <c r="I580"/>
      <c r="J580"/>
      <c r="K580"/>
      <c r="L580"/>
      <c r="M580" s="18"/>
      <c r="N580"/>
      <c r="O580" s="13"/>
      <c r="P580" s="13"/>
      <c r="Q580" s="13"/>
      <c r="R580"/>
    </row>
    <row r="581" spans="1:18" ht="20.100000000000001" customHeight="1" x14ac:dyDescent="0.3">
      <c r="A581"/>
      <c r="B581"/>
      <c r="C581"/>
      <c r="D581"/>
      <c r="E581"/>
      <c r="F581"/>
      <c r="G581"/>
      <c r="H581"/>
      <c r="I581"/>
      <c r="J581"/>
      <c r="K581"/>
      <c r="L581"/>
      <c r="M581" s="18"/>
      <c r="N581"/>
      <c r="O581" s="13"/>
      <c r="P581" s="13"/>
      <c r="Q581" s="13"/>
      <c r="R581"/>
    </row>
    <row r="582" spans="1:18" ht="20.100000000000001" customHeight="1" x14ac:dyDescent="0.3">
      <c r="A582"/>
      <c r="B582"/>
      <c r="C582"/>
      <c r="D582"/>
      <c r="E582"/>
      <c r="F582"/>
      <c r="G582"/>
      <c r="H582"/>
      <c r="I582"/>
      <c r="J582"/>
      <c r="K582"/>
      <c r="L582"/>
      <c r="M582" s="18"/>
      <c r="N582"/>
      <c r="O582" s="13"/>
      <c r="P582" s="13"/>
      <c r="Q582" s="13"/>
      <c r="R582"/>
    </row>
    <row r="583" spans="1:18" ht="20.100000000000001" customHeight="1" x14ac:dyDescent="0.3">
      <c r="A583"/>
      <c r="B583"/>
      <c r="C583"/>
      <c r="D583"/>
      <c r="E583"/>
      <c r="F583"/>
      <c r="G583"/>
      <c r="H583"/>
      <c r="I583"/>
      <c r="J583"/>
      <c r="K583"/>
      <c r="L583"/>
      <c r="M583" s="18"/>
      <c r="N583"/>
      <c r="O583" s="13"/>
      <c r="P583" s="13"/>
      <c r="Q583" s="13"/>
      <c r="R583"/>
    </row>
    <row r="584" spans="1:18" ht="20.100000000000001" customHeight="1" x14ac:dyDescent="0.3">
      <c r="A584"/>
      <c r="B584"/>
      <c r="C584"/>
      <c r="D584"/>
      <c r="E584"/>
      <c r="F584"/>
      <c r="G584"/>
      <c r="H584"/>
      <c r="I584"/>
      <c r="J584"/>
      <c r="K584"/>
      <c r="L584"/>
      <c r="M584" s="18"/>
      <c r="N584"/>
      <c r="O584" s="13"/>
      <c r="P584" s="13"/>
      <c r="Q584" s="13"/>
      <c r="R584"/>
    </row>
    <row r="585" spans="1:18" ht="20.100000000000001" customHeight="1" x14ac:dyDescent="0.3">
      <c r="A585"/>
      <c r="B585"/>
      <c r="C585"/>
      <c r="D585"/>
      <c r="E585"/>
      <c r="F585"/>
      <c r="G585"/>
      <c r="H585"/>
      <c r="I585"/>
      <c r="J585"/>
      <c r="K585"/>
      <c r="L585"/>
      <c r="M585" s="18"/>
      <c r="N585"/>
      <c r="O585" s="13"/>
      <c r="P585" s="13"/>
      <c r="Q585" s="13"/>
      <c r="R585"/>
    </row>
    <row r="586" spans="1:18" ht="20.100000000000001" customHeight="1" x14ac:dyDescent="0.3">
      <c r="A586"/>
      <c r="B586"/>
      <c r="C586"/>
      <c r="D586"/>
      <c r="E586"/>
      <c r="F586"/>
      <c r="G586"/>
      <c r="H586"/>
      <c r="I586"/>
      <c r="J586"/>
      <c r="K586"/>
      <c r="L586"/>
      <c r="M586" s="18"/>
      <c r="N586"/>
      <c r="O586" s="13"/>
      <c r="P586" s="13"/>
      <c r="Q586" s="13"/>
      <c r="R586"/>
    </row>
    <row r="587" spans="1:18" ht="20.100000000000001" customHeight="1" x14ac:dyDescent="0.3">
      <c r="A587"/>
      <c r="B587"/>
      <c r="C587"/>
      <c r="D587"/>
      <c r="E587"/>
      <c r="F587"/>
      <c r="G587"/>
      <c r="H587"/>
      <c r="I587"/>
      <c r="J587"/>
      <c r="K587"/>
      <c r="L587"/>
      <c r="M587" s="18"/>
      <c r="N587"/>
      <c r="O587" s="13"/>
      <c r="P587" s="13"/>
      <c r="Q587" s="13"/>
      <c r="R587"/>
    </row>
    <row r="588" spans="1:18" ht="20.100000000000001" customHeight="1" x14ac:dyDescent="0.3">
      <c r="A588"/>
      <c r="B588"/>
      <c r="C588"/>
      <c r="D588"/>
      <c r="E588"/>
      <c r="F588"/>
      <c r="G588"/>
      <c r="H588"/>
      <c r="I588"/>
      <c r="J588"/>
      <c r="K588"/>
      <c r="L588"/>
      <c r="M588" s="18"/>
      <c r="N588"/>
      <c r="O588" s="13"/>
      <c r="P588" s="13"/>
      <c r="Q588" s="13"/>
      <c r="R588"/>
    </row>
    <row r="589" spans="1:18" ht="20.100000000000001" customHeight="1" x14ac:dyDescent="0.3">
      <c r="A589"/>
      <c r="B589"/>
      <c r="C589"/>
      <c r="D589"/>
      <c r="E589"/>
      <c r="F589"/>
      <c r="G589"/>
      <c r="H589"/>
      <c r="I589"/>
      <c r="J589"/>
      <c r="K589"/>
      <c r="L589"/>
      <c r="M589" s="18"/>
      <c r="N589"/>
      <c r="O589" s="13"/>
      <c r="P589" s="13"/>
      <c r="Q589" s="13"/>
      <c r="R589"/>
    </row>
    <row r="590" spans="1:18" ht="20.100000000000001" customHeight="1" x14ac:dyDescent="0.3">
      <c r="A590"/>
      <c r="B590"/>
      <c r="C590"/>
      <c r="D590"/>
      <c r="E590"/>
      <c r="F590"/>
      <c r="G590"/>
      <c r="H590"/>
      <c r="I590"/>
      <c r="J590"/>
      <c r="K590"/>
      <c r="L590"/>
      <c r="M590" s="18"/>
      <c r="N590"/>
      <c r="O590" s="13"/>
      <c r="P590" s="13"/>
      <c r="Q590" s="13"/>
      <c r="R590"/>
    </row>
    <row r="591" spans="1:18" ht="20.100000000000001" customHeight="1" x14ac:dyDescent="0.3">
      <c r="A591"/>
      <c r="B591"/>
      <c r="C591"/>
      <c r="D591"/>
      <c r="E591"/>
      <c r="F591"/>
      <c r="G591"/>
      <c r="H591"/>
      <c r="I591"/>
      <c r="J591"/>
      <c r="K591"/>
      <c r="L591"/>
      <c r="M591" s="18"/>
      <c r="N591"/>
      <c r="O591" s="13"/>
      <c r="P591" s="13"/>
      <c r="Q591" s="13"/>
      <c r="R591"/>
    </row>
    <row r="592" spans="1:18" ht="20.100000000000001" customHeight="1" x14ac:dyDescent="0.3">
      <c r="A592"/>
      <c r="B592"/>
      <c r="C592"/>
      <c r="D592"/>
      <c r="E592"/>
      <c r="F592"/>
      <c r="G592"/>
      <c r="H592"/>
      <c r="I592"/>
      <c r="J592"/>
      <c r="K592"/>
      <c r="L592"/>
      <c r="M592" s="18"/>
      <c r="N592"/>
      <c r="O592" s="13"/>
      <c r="P592" s="13"/>
      <c r="Q592" s="13"/>
      <c r="R592"/>
    </row>
    <row r="593" spans="1:18" ht="20.100000000000001" customHeight="1" x14ac:dyDescent="0.3">
      <c r="A593"/>
      <c r="B593"/>
      <c r="C593"/>
      <c r="D593"/>
      <c r="E593"/>
      <c r="F593"/>
      <c r="G593"/>
      <c r="H593"/>
      <c r="I593"/>
      <c r="J593"/>
      <c r="K593"/>
      <c r="L593"/>
      <c r="M593" s="18"/>
      <c r="N593"/>
      <c r="O593" s="13"/>
      <c r="P593" s="13"/>
      <c r="Q593" s="13"/>
      <c r="R593"/>
    </row>
    <row r="594" spans="1:18" ht="20.100000000000001" customHeight="1" x14ac:dyDescent="0.3">
      <c r="A594"/>
      <c r="B594"/>
      <c r="C594"/>
      <c r="D594"/>
      <c r="E594"/>
      <c r="F594"/>
      <c r="G594"/>
      <c r="H594"/>
      <c r="I594"/>
      <c r="J594"/>
      <c r="K594"/>
      <c r="L594"/>
      <c r="M594" s="18"/>
      <c r="N594"/>
      <c r="O594" s="13"/>
      <c r="P594" s="13"/>
      <c r="Q594" s="13"/>
      <c r="R594"/>
    </row>
    <row r="595" spans="1:18" ht="20.100000000000001" customHeight="1" x14ac:dyDescent="0.3">
      <c r="A595"/>
      <c r="B595"/>
      <c r="C595"/>
      <c r="D595"/>
      <c r="E595"/>
      <c r="F595"/>
      <c r="G595"/>
      <c r="H595"/>
      <c r="I595"/>
      <c r="J595"/>
      <c r="K595"/>
      <c r="L595"/>
      <c r="M595" s="18"/>
      <c r="N595"/>
      <c r="O595" s="13"/>
      <c r="P595" s="13"/>
      <c r="Q595" s="13"/>
      <c r="R595"/>
    </row>
    <row r="596" spans="1:18" ht="20.100000000000001" customHeight="1" x14ac:dyDescent="0.3">
      <c r="A596"/>
      <c r="B596"/>
      <c r="C596"/>
      <c r="D596"/>
      <c r="E596"/>
      <c r="F596"/>
      <c r="G596"/>
      <c r="H596"/>
      <c r="I596"/>
      <c r="J596"/>
      <c r="K596"/>
      <c r="L596"/>
      <c r="M596" s="18"/>
      <c r="N596"/>
      <c r="O596" s="13"/>
      <c r="P596" s="13"/>
      <c r="Q596" s="13"/>
      <c r="R596"/>
    </row>
    <row r="597" spans="1:18" ht="20.100000000000001" customHeight="1" x14ac:dyDescent="0.3">
      <c r="A597"/>
      <c r="B597"/>
      <c r="C597"/>
      <c r="D597"/>
      <c r="E597"/>
      <c r="F597"/>
      <c r="G597"/>
      <c r="H597"/>
      <c r="I597"/>
      <c r="J597"/>
      <c r="K597"/>
      <c r="L597"/>
      <c r="M597" s="18"/>
      <c r="N597"/>
      <c r="O597" s="13"/>
      <c r="P597" s="13"/>
      <c r="Q597" s="13"/>
      <c r="R597"/>
    </row>
    <row r="598" spans="1:18" ht="20.100000000000001" customHeight="1" x14ac:dyDescent="0.3">
      <c r="A598"/>
      <c r="B598"/>
      <c r="C598"/>
      <c r="D598"/>
      <c r="E598"/>
      <c r="F598"/>
      <c r="G598"/>
      <c r="H598"/>
      <c r="I598"/>
      <c r="J598"/>
      <c r="K598"/>
      <c r="L598"/>
      <c r="M598" s="18"/>
      <c r="N598"/>
      <c r="O598" s="13"/>
      <c r="P598" s="13"/>
      <c r="Q598" s="13"/>
      <c r="R598"/>
    </row>
    <row r="599" spans="1:18" ht="20.100000000000001" customHeight="1" x14ac:dyDescent="0.3">
      <c r="A599"/>
      <c r="B599"/>
      <c r="C599"/>
      <c r="D599"/>
      <c r="E599"/>
      <c r="F599"/>
      <c r="G599"/>
      <c r="H599"/>
      <c r="I599"/>
      <c r="J599"/>
      <c r="K599"/>
      <c r="L599"/>
      <c r="M599" s="18"/>
      <c r="N599"/>
      <c r="O599" s="13"/>
      <c r="P599" s="13"/>
      <c r="Q599" s="13"/>
      <c r="R599"/>
    </row>
    <row r="600" spans="1:18" ht="20.100000000000001" customHeight="1" x14ac:dyDescent="0.3">
      <c r="A600"/>
      <c r="B600"/>
      <c r="C600"/>
      <c r="D600"/>
      <c r="E600"/>
      <c r="F600"/>
      <c r="G600"/>
      <c r="H600"/>
      <c r="I600"/>
      <c r="J600"/>
      <c r="K600"/>
      <c r="L600"/>
      <c r="M600" s="18"/>
      <c r="N600"/>
      <c r="O600" s="13"/>
      <c r="P600" s="13"/>
      <c r="Q600" s="13"/>
      <c r="R600"/>
    </row>
    <row r="601" spans="1:18" ht="20.100000000000001" customHeight="1" x14ac:dyDescent="0.3">
      <c r="A601"/>
      <c r="B601"/>
      <c r="C601"/>
      <c r="D601"/>
      <c r="E601"/>
      <c r="F601"/>
      <c r="G601"/>
      <c r="H601"/>
      <c r="I601"/>
      <c r="J601"/>
      <c r="K601"/>
      <c r="L601"/>
      <c r="M601" s="18"/>
      <c r="N601"/>
      <c r="O601" s="13"/>
      <c r="P601" s="13"/>
      <c r="Q601" s="13"/>
      <c r="R601"/>
    </row>
    <row r="602" spans="1:18" ht="20.100000000000001" customHeight="1" x14ac:dyDescent="0.3">
      <c r="A602"/>
      <c r="B602"/>
      <c r="C602"/>
      <c r="D602"/>
      <c r="E602"/>
      <c r="F602"/>
      <c r="G602"/>
      <c r="H602"/>
      <c r="I602"/>
      <c r="J602"/>
      <c r="K602"/>
      <c r="L602"/>
      <c r="M602" s="18"/>
      <c r="N602"/>
      <c r="O602" s="13"/>
      <c r="P602" s="13"/>
      <c r="Q602" s="13"/>
      <c r="R602"/>
    </row>
    <row r="603" spans="1:18" ht="20.100000000000001" customHeight="1" x14ac:dyDescent="0.3">
      <c r="A603"/>
      <c r="B603"/>
      <c r="C603"/>
      <c r="D603"/>
      <c r="E603"/>
      <c r="F603"/>
      <c r="G603"/>
      <c r="H603"/>
      <c r="I603"/>
      <c r="J603"/>
      <c r="K603"/>
      <c r="L603"/>
      <c r="M603" s="18"/>
      <c r="N603"/>
      <c r="O603" s="13"/>
      <c r="P603" s="13"/>
      <c r="Q603" s="13"/>
      <c r="R603"/>
    </row>
    <row r="604" spans="1:18" ht="20.100000000000001" customHeight="1" x14ac:dyDescent="0.3">
      <c r="A604"/>
      <c r="B604"/>
      <c r="C604"/>
      <c r="D604"/>
      <c r="E604"/>
      <c r="F604"/>
      <c r="G604"/>
      <c r="H604"/>
      <c r="I604"/>
      <c r="J604"/>
      <c r="K604"/>
      <c r="L604"/>
      <c r="M604" s="18"/>
      <c r="N604"/>
      <c r="O604" s="13"/>
      <c r="P604" s="13"/>
      <c r="Q604" s="13"/>
      <c r="R604"/>
    </row>
    <row r="605" spans="1:18" ht="20.100000000000001" customHeight="1" x14ac:dyDescent="0.3">
      <c r="A605"/>
      <c r="B605"/>
      <c r="C605"/>
      <c r="D605"/>
      <c r="E605"/>
      <c r="F605"/>
      <c r="G605"/>
      <c r="H605"/>
      <c r="I605"/>
      <c r="J605"/>
      <c r="K605"/>
      <c r="L605"/>
      <c r="M605" s="18"/>
      <c r="N605"/>
      <c r="O605" s="13"/>
      <c r="P605" s="13"/>
      <c r="Q605" s="13"/>
      <c r="R605"/>
    </row>
    <row r="606" spans="1:18" ht="20.100000000000001" customHeight="1" x14ac:dyDescent="0.3">
      <c r="A606"/>
      <c r="B606"/>
      <c r="C606"/>
      <c r="D606"/>
      <c r="E606"/>
      <c r="F606"/>
      <c r="G606"/>
      <c r="H606"/>
      <c r="I606"/>
      <c r="J606"/>
      <c r="K606"/>
      <c r="L606"/>
      <c r="M606" s="18"/>
      <c r="N606"/>
      <c r="O606" s="13"/>
      <c r="P606" s="13"/>
      <c r="Q606" s="13"/>
      <c r="R606"/>
    </row>
    <row r="607" spans="1:18" ht="20.100000000000001" customHeight="1" x14ac:dyDescent="0.3">
      <c r="A607"/>
      <c r="B607"/>
      <c r="C607"/>
      <c r="D607"/>
      <c r="E607"/>
      <c r="F607"/>
      <c r="G607"/>
      <c r="H607"/>
      <c r="I607"/>
      <c r="J607"/>
      <c r="K607"/>
      <c r="L607"/>
      <c r="M607" s="18"/>
      <c r="N607"/>
      <c r="O607" s="13"/>
      <c r="P607" s="13"/>
      <c r="Q607" s="13"/>
      <c r="R607"/>
    </row>
    <row r="608" spans="1:18" ht="20.100000000000001" customHeight="1" x14ac:dyDescent="0.3">
      <c r="A608"/>
      <c r="B608"/>
      <c r="C608"/>
      <c r="D608"/>
      <c r="E608"/>
      <c r="F608"/>
      <c r="G608"/>
      <c r="H608"/>
      <c r="I608"/>
      <c r="J608"/>
      <c r="K608"/>
      <c r="L608"/>
      <c r="M608" s="18"/>
      <c r="N608"/>
      <c r="O608" s="13"/>
      <c r="P608" s="13"/>
      <c r="Q608" s="13"/>
      <c r="R608"/>
    </row>
    <row r="609" spans="1:18" ht="20.100000000000001" customHeight="1" x14ac:dyDescent="0.3">
      <c r="A609"/>
      <c r="B609"/>
      <c r="C609"/>
      <c r="D609"/>
      <c r="E609"/>
      <c r="F609"/>
      <c r="G609"/>
      <c r="H609"/>
      <c r="I609"/>
      <c r="J609"/>
      <c r="K609"/>
      <c r="L609"/>
      <c r="M609" s="18"/>
      <c r="N609"/>
      <c r="O609" s="13"/>
      <c r="P609" s="13"/>
      <c r="Q609" s="13"/>
      <c r="R609"/>
    </row>
    <row r="610" spans="1:18" ht="20.100000000000001" customHeight="1" x14ac:dyDescent="0.3">
      <c r="A610"/>
      <c r="B610"/>
      <c r="C610"/>
      <c r="D610"/>
      <c r="E610"/>
      <c r="F610"/>
      <c r="G610"/>
      <c r="H610"/>
      <c r="I610"/>
      <c r="J610"/>
      <c r="K610"/>
      <c r="L610"/>
      <c r="M610" s="18"/>
      <c r="N610"/>
      <c r="O610" s="13"/>
      <c r="P610" s="13"/>
      <c r="Q610" s="13"/>
      <c r="R610"/>
    </row>
    <row r="611" spans="1:18" ht="20.100000000000001" customHeight="1" x14ac:dyDescent="0.3">
      <c r="A611"/>
      <c r="B611"/>
      <c r="C611"/>
      <c r="D611"/>
      <c r="E611"/>
      <c r="F611"/>
      <c r="G611"/>
      <c r="H611"/>
      <c r="I611"/>
      <c r="J611"/>
      <c r="K611"/>
      <c r="L611"/>
      <c r="M611" s="18"/>
      <c r="N611"/>
      <c r="O611" s="13"/>
      <c r="P611" s="13"/>
      <c r="Q611" s="13"/>
      <c r="R611"/>
    </row>
    <row r="612" spans="1:18" ht="20.100000000000001" customHeight="1" x14ac:dyDescent="0.3">
      <c r="A612"/>
      <c r="B612"/>
      <c r="C612"/>
      <c r="D612"/>
      <c r="E612"/>
      <c r="F612"/>
      <c r="G612"/>
      <c r="H612"/>
      <c r="I612"/>
      <c r="J612"/>
      <c r="K612"/>
      <c r="L612"/>
      <c r="M612" s="18"/>
      <c r="N612"/>
      <c r="O612" s="13"/>
      <c r="P612" s="13"/>
      <c r="Q612" s="13"/>
      <c r="R612"/>
    </row>
    <row r="613" spans="1:18" ht="20.100000000000001" customHeight="1" x14ac:dyDescent="0.3">
      <c r="A613"/>
      <c r="B613"/>
      <c r="C613"/>
      <c r="D613"/>
      <c r="E613"/>
      <c r="F613"/>
      <c r="G613"/>
      <c r="H613"/>
      <c r="I613"/>
      <c r="J613"/>
      <c r="K613"/>
      <c r="L613"/>
      <c r="M613" s="18"/>
      <c r="N613"/>
      <c r="O613" s="13"/>
      <c r="P613" s="13"/>
      <c r="Q613" s="13"/>
      <c r="R613"/>
    </row>
    <row r="614" spans="1:18" ht="20.100000000000001" customHeight="1" x14ac:dyDescent="0.3">
      <c r="A614"/>
      <c r="B614"/>
      <c r="C614"/>
      <c r="D614"/>
      <c r="E614"/>
      <c r="F614"/>
      <c r="G614"/>
      <c r="H614"/>
      <c r="I614"/>
      <c r="J614"/>
      <c r="K614"/>
      <c r="L614"/>
      <c r="M614" s="18"/>
      <c r="N614"/>
      <c r="O614" s="13"/>
      <c r="P614" s="13"/>
      <c r="Q614" s="13"/>
      <c r="R614"/>
    </row>
    <row r="615" spans="1:18" ht="20.100000000000001" customHeight="1" x14ac:dyDescent="0.3">
      <c r="A615"/>
      <c r="B615"/>
      <c r="C615"/>
      <c r="D615"/>
      <c r="E615"/>
      <c r="F615"/>
      <c r="G615"/>
      <c r="H615"/>
      <c r="I615"/>
      <c r="J615"/>
      <c r="K615"/>
      <c r="L615"/>
      <c r="M615" s="18"/>
      <c r="N615"/>
      <c r="O615" s="13"/>
      <c r="P615" s="13"/>
      <c r="Q615" s="13"/>
      <c r="R615"/>
    </row>
    <row r="616" spans="1:18" ht="20.100000000000001" customHeight="1" x14ac:dyDescent="0.3">
      <c r="A616"/>
      <c r="B616"/>
      <c r="C616"/>
      <c r="D616"/>
      <c r="E616"/>
      <c r="F616"/>
      <c r="G616"/>
      <c r="H616"/>
      <c r="I616"/>
      <c r="J616"/>
      <c r="K616"/>
      <c r="L616"/>
      <c r="M616" s="18"/>
      <c r="N616"/>
      <c r="O616" s="13"/>
      <c r="P616" s="13"/>
      <c r="Q616" s="13"/>
      <c r="R616"/>
    </row>
    <row r="617" spans="1:18" ht="20.100000000000001" customHeight="1" x14ac:dyDescent="0.3">
      <c r="A617"/>
      <c r="B617"/>
      <c r="C617"/>
      <c r="D617"/>
      <c r="E617"/>
      <c r="F617"/>
      <c r="G617"/>
      <c r="H617"/>
      <c r="I617"/>
      <c r="J617"/>
      <c r="K617"/>
      <c r="L617"/>
      <c r="M617" s="18"/>
      <c r="N617"/>
      <c r="O617" s="13"/>
      <c r="P617" s="13"/>
      <c r="Q617" s="13"/>
      <c r="R617"/>
    </row>
    <row r="618" spans="1:18" ht="20.100000000000001" customHeight="1" x14ac:dyDescent="0.3">
      <c r="A618"/>
      <c r="B618"/>
      <c r="C618"/>
      <c r="D618"/>
      <c r="E618"/>
      <c r="F618"/>
      <c r="G618"/>
      <c r="H618"/>
      <c r="I618"/>
      <c r="J618"/>
      <c r="K618"/>
      <c r="L618"/>
      <c r="M618" s="18"/>
      <c r="N618"/>
      <c r="O618" s="13"/>
      <c r="P618" s="13"/>
      <c r="Q618" s="13"/>
      <c r="R618"/>
    </row>
    <row r="619" spans="1:18" ht="20.100000000000001" customHeight="1" x14ac:dyDescent="0.3">
      <c r="A619"/>
      <c r="B619"/>
      <c r="C619"/>
      <c r="D619"/>
      <c r="E619"/>
      <c r="F619"/>
      <c r="G619"/>
      <c r="H619"/>
      <c r="I619"/>
      <c r="J619"/>
      <c r="K619"/>
      <c r="L619"/>
      <c r="M619" s="18"/>
      <c r="N619"/>
      <c r="O619" s="13"/>
      <c r="P619" s="13"/>
      <c r="Q619" s="13"/>
      <c r="R619"/>
    </row>
    <row r="620" spans="1:18" ht="20.100000000000001" customHeight="1" x14ac:dyDescent="0.3">
      <c r="A620"/>
      <c r="B620"/>
      <c r="C620"/>
      <c r="D620"/>
      <c r="E620"/>
      <c r="F620"/>
      <c r="G620"/>
      <c r="H620"/>
      <c r="I620"/>
      <c r="J620"/>
      <c r="K620"/>
      <c r="L620"/>
      <c r="M620" s="18"/>
      <c r="N620"/>
      <c r="O620" s="13"/>
      <c r="P620" s="13"/>
      <c r="Q620" s="13"/>
      <c r="R620"/>
    </row>
    <row r="621" spans="1:18" ht="20.100000000000001" customHeight="1" x14ac:dyDescent="0.3">
      <c r="A621"/>
      <c r="B621"/>
      <c r="C621"/>
      <c r="D621"/>
      <c r="E621"/>
      <c r="F621"/>
      <c r="G621"/>
      <c r="H621"/>
      <c r="I621"/>
      <c r="J621"/>
      <c r="K621"/>
      <c r="L621"/>
      <c r="M621" s="18"/>
      <c r="N621"/>
      <c r="O621" s="13"/>
      <c r="P621" s="13"/>
      <c r="Q621" s="13"/>
      <c r="R621"/>
    </row>
    <row r="622" spans="1:18" ht="20.100000000000001" customHeight="1" x14ac:dyDescent="0.3">
      <c r="A622"/>
      <c r="B622"/>
      <c r="C622"/>
      <c r="D622"/>
      <c r="E622"/>
      <c r="F622"/>
      <c r="G622"/>
      <c r="H622"/>
      <c r="I622"/>
      <c r="J622"/>
      <c r="K622"/>
      <c r="L622"/>
      <c r="M622" s="18"/>
      <c r="N622"/>
      <c r="O622" s="13"/>
      <c r="P622" s="13"/>
      <c r="Q622" s="13"/>
      <c r="R622"/>
    </row>
    <row r="623" spans="1:18" ht="20.100000000000001" customHeight="1" x14ac:dyDescent="0.3">
      <c r="A623"/>
      <c r="B623"/>
      <c r="C623"/>
      <c r="D623"/>
      <c r="E623"/>
      <c r="F623"/>
      <c r="G623"/>
      <c r="H623"/>
      <c r="I623"/>
      <c r="J623"/>
      <c r="K623"/>
      <c r="L623"/>
      <c r="M623" s="18"/>
      <c r="N623"/>
      <c r="O623" s="13"/>
      <c r="P623" s="13"/>
      <c r="Q623" s="13"/>
      <c r="R623"/>
    </row>
    <row r="624" spans="1:18" ht="20.100000000000001" customHeight="1" x14ac:dyDescent="0.3">
      <c r="A624"/>
      <c r="B624"/>
      <c r="C624"/>
      <c r="D624"/>
      <c r="E624"/>
      <c r="F624"/>
      <c r="G624"/>
      <c r="H624"/>
      <c r="I624"/>
      <c r="J624"/>
      <c r="K624"/>
      <c r="L624"/>
      <c r="M624" s="18"/>
      <c r="N624"/>
      <c r="O624" s="13"/>
      <c r="P624" s="13"/>
      <c r="Q624" s="13"/>
      <c r="R624"/>
    </row>
    <row r="625" spans="1:18" ht="20.100000000000001" customHeight="1" x14ac:dyDescent="0.3">
      <c r="A625"/>
      <c r="B625"/>
      <c r="C625"/>
      <c r="D625"/>
      <c r="E625"/>
      <c r="F625"/>
      <c r="G625"/>
      <c r="H625"/>
      <c r="I625"/>
      <c r="J625"/>
      <c r="K625"/>
      <c r="L625"/>
      <c r="M625" s="18"/>
      <c r="N625"/>
      <c r="O625" s="13"/>
      <c r="P625" s="13"/>
      <c r="Q625" s="13"/>
      <c r="R625"/>
    </row>
    <row r="626" spans="1:18" ht="20.100000000000001" customHeight="1" x14ac:dyDescent="0.3">
      <c r="A626"/>
      <c r="B626"/>
      <c r="C626"/>
      <c r="D626"/>
      <c r="E626"/>
      <c r="F626"/>
      <c r="G626"/>
      <c r="H626"/>
      <c r="I626"/>
      <c r="J626"/>
      <c r="K626"/>
      <c r="L626"/>
      <c r="M626" s="18"/>
      <c r="N626"/>
      <c r="O626" s="13"/>
      <c r="P626" s="13"/>
      <c r="Q626" s="13"/>
      <c r="R626"/>
    </row>
    <row r="627" spans="1:18" ht="20.100000000000001" customHeight="1" x14ac:dyDescent="0.3">
      <c r="A627"/>
      <c r="B627"/>
      <c r="C627"/>
      <c r="D627"/>
      <c r="E627"/>
      <c r="F627"/>
      <c r="G627"/>
      <c r="H627"/>
      <c r="I627"/>
      <c r="J627"/>
      <c r="K627"/>
      <c r="L627"/>
      <c r="M627" s="18"/>
      <c r="N627"/>
      <c r="O627" s="13"/>
      <c r="P627" s="13"/>
      <c r="Q627" s="13"/>
      <c r="R627"/>
    </row>
    <row r="628" spans="1:18" ht="20.100000000000001" customHeight="1" x14ac:dyDescent="0.3">
      <c r="A628"/>
      <c r="B628"/>
      <c r="C628"/>
      <c r="D628"/>
      <c r="E628"/>
      <c r="F628"/>
      <c r="G628"/>
      <c r="H628"/>
      <c r="I628"/>
      <c r="J628"/>
      <c r="K628"/>
      <c r="L628"/>
      <c r="M628" s="18"/>
      <c r="N628"/>
      <c r="O628" s="13"/>
      <c r="P628" s="13"/>
      <c r="Q628" s="13"/>
      <c r="R628"/>
    </row>
    <row r="629" spans="1:18" ht="20.100000000000001" customHeight="1" x14ac:dyDescent="0.3">
      <c r="A629"/>
      <c r="B629"/>
      <c r="C629"/>
      <c r="D629"/>
      <c r="E629"/>
      <c r="F629"/>
      <c r="G629"/>
      <c r="H629"/>
      <c r="I629"/>
      <c r="J629"/>
      <c r="K629"/>
      <c r="L629"/>
      <c r="M629" s="18"/>
      <c r="N629"/>
      <c r="O629" s="13"/>
      <c r="P629" s="13"/>
      <c r="Q629" s="13"/>
      <c r="R629"/>
    </row>
    <row r="630" spans="1:18" ht="20.100000000000001" customHeight="1" x14ac:dyDescent="0.3">
      <c r="A630"/>
      <c r="B630"/>
      <c r="C630"/>
      <c r="D630"/>
      <c r="E630"/>
      <c r="F630"/>
      <c r="G630"/>
      <c r="H630"/>
      <c r="I630"/>
      <c r="J630"/>
      <c r="K630"/>
      <c r="L630"/>
      <c r="M630" s="18"/>
      <c r="N630"/>
      <c r="O630" s="13"/>
      <c r="P630" s="13"/>
      <c r="Q630" s="13"/>
      <c r="R630"/>
    </row>
    <row r="631" spans="1:18" ht="20.100000000000001" customHeight="1" x14ac:dyDescent="0.3">
      <c r="A631"/>
      <c r="B631"/>
      <c r="C631"/>
      <c r="D631"/>
      <c r="E631"/>
      <c r="F631"/>
      <c r="G631"/>
      <c r="H631"/>
      <c r="I631"/>
      <c r="J631"/>
      <c r="K631"/>
      <c r="L631"/>
      <c r="M631" s="18"/>
      <c r="N631"/>
      <c r="O631" s="13"/>
      <c r="P631" s="13"/>
      <c r="Q631" s="13"/>
      <c r="R631"/>
    </row>
    <row r="632" spans="1:18" ht="20.100000000000001" customHeight="1" x14ac:dyDescent="0.3">
      <c r="A632"/>
      <c r="B632"/>
      <c r="C632"/>
      <c r="D632"/>
      <c r="E632"/>
      <c r="F632"/>
      <c r="G632"/>
      <c r="H632"/>
      <c r="I632"/>
      <c r="J632"/>
      <c r="K632"/>
      <c r="L632"/>
      <c r="M632" s="18"/>
      <c r="N632"/>
      <c r="O632" s="13"/>
      <c r="P632" s="13"/>
      <c r="Q632" s="13"/>
      <c r="R632"/>
    </row>
    <row r="633" spans="1:18" ht="20.100000000000001" customHeight="1" x14ac:dyDescent="0.3">
      <c r="A633"/>
      <c r="B633"/>
      <c r="C633"/>
      <c r="D633"/>
      <c r="E633"/>
      <c r="F633"/>
      <c r="G633"/>
      <c r="H633"/>
      <c r="I633"/>
      <c r="J633"/>
      <c r="K633"/>
      <c r="L633"/>
      <c r="M633" s="18"/>
      <c r="N633"/>
      <c r="O633" s="13"/>
      <c r="P633" s="13"/>
      <c r="Q633" s="13"/>
      <c r="R633"/>
    </row>
    <row r="634" spans="1:18" ht="20.100000000000001" customHeight="1" x14ac:dyDescent="0.3">
      <c r="A634"/>
      <c r="B634"/>
      <c r="C634"/>
      <c r="D634"/>
      <c r="E634"/>
      <c r="F634"/>
      <c r="G634"/>
      <c r="H634"/>
      <c r="I634"/>
      <c r="J634"/>
      <c r="K634"/>
      <c r="L634"/>
      <c r="M634" s="18"/>
      <c r="N634"/>
      <c r="O634" s="13"/>
      <c r="P634" s="13"/>
      <c r="Q634" s="13"/>
      <c r="R634"/>
    </row>
    <row r="635" spans="1:18" ht="20.100000000000001" customHeight="1" x14ac:dyDescent="0.3">
      <c r="A635"/>
      <c r="B635"/>
      <c r="C635"/>
      <c r="D635"/>
      <c r="E635"/>
      <c r="F635"/>
      <c r="G635"/>
      <c r="H635"/>
      <c r="I635"/>
      <c r="J635"/>
      <c r="K635"/>
      <c r="L635"/>
      <c r="M635" s="18"/>
      <c r="N635"/>
      <c r="O635" s="13"/>
      <c r="P635" s="13"/>
      <c r="Q635" s="13"/>
      <c r="R635"/>
    </row>
    <row r="636" spans="1:18" ht="20.100000000000001" customHeight="1" x14ac:dyDescent="0.3">
      <c r="A636"/>
      <c r="B636"/>
      <c r="C636"/>
      <c r="D636"/>
      <c r="E636"/>
      <c r="F636"/>
      <c r="G636"/>
      <c r="H636"/>
      <c r="I636"/>
      <c r="J636"/>
      <c r="K636"/>
      <c r="L636"/>
      <c r="M636" s="18"/>
      <c r="N636"/>
      <c r="O636" s="13"/>
      <c r="P636" s="13"/>
      <c r="Q636" s="13"/>
      <c r="R636"/>
    </row>
    <row r="637" spans="1:18" ht="20.100000000000001" customHeight="1" x14ac:dyDescent="0.3">
      <c r="A637"/>
      <c r="B637"/>
      <c r="C637"/>
      <c r="D637"/>
      <c r="E637"/>
      <c r="F637"/>
      <c r="G637"/>
      <c r="H637"/>
      <c r="I637"/>
      <c r="J637"/>
      <c r="K637"/>
      <c r="L637"/>
      <c r="M637" s="18"/>
      <c r="N637"/>
      <c r="O637" s="13"/>
      <c r="P637" s="13"/>
      <c r="Q637" s="13"/>
      <c r="R637"/>
    </row>
    <row r="638" spans="1:18" ht="20.100000000000001" customHeight="1" x14ac:dyDescent="0.3">
      <c r="A638"/>
      <c r="B638"/>
      <c r="C638"/>
      <c r="D638"/>
      <c r="E638"/>
      <c r="F638"/>
      <c r="G638"/>
      <c r="H638"/>
      <c r="I638"/>
      <c r="J638"/>
      <c r="K638"/>
      <c r="L638"/>
      <c r="M638" s="18"/>
      <c r="N638"/>
      <c r="O638" s="13"/>
      <c r="P638" s="13"/>
      <c r="Q638" s="13"/>
      <c r="R638"/>
    </row>
    <row r="639" spans="1:18" ht="20.100000000000001" customHeight="1" x14ac:dyDescent="0.3">
      <c r="A639"/>
      <c r="B639"/>
      <c r="C639"/>
      <c r="D639"/>
      <c r="E639"/>
      <c r="F639"/>
      <c r="G639"/>
      <c r="H639"/>
      <c r="I639"/>
      <c r="J639"/>
      <c r="K639"/>
      <c r="L639"/>
      <c r="M639" s="18"/>
      <c r="N639"/>
      <c r="O639" s="13"/>
      <c r="P639" s="13"/>
      <c r="Q639" s="13"/>
      <c r="R639"/>
    </row>
    <row r="640" spans="1:18" ht="20.100000000000001" customHeight="1" x14ac:dyDescent="0.3">
      <c r="A640"/>
      <c r="B640"/>
      <c r="C640"/>
      <c r="D640"/>
      <c r="E640"/>
      <c r="F640"/>
      <c r="G640"/>
      <c r="H640"/>
      <c r="I640"/>
      <c r="J640"/>
      <c r="K640"/>
      <c r="L640"/>
      <c r="M640" s="18"/>
      <c r="N640"/>
      <c r="O640" s="13"/>
      <c r="P640" s="13"/>
      <c r="Q640" s="13"/>
      <c r="R640"/>
    </row>
    <row r="641" spans="1:18" ht="20.100000000000001" customHeight="1" x14ac:dyDescent="0.3">
      <c r="A641"/>
      <c r="B641"/>
      <c r="C641"/>
      <c r="D641"/>
      <c r="E641"/>
      <c r="F641"/>
      <c r="G641"/>
      <c r="H641"/>
      <c r="I641"/>
      <c r="J641"/>
      <c r="K641"/>
      <c r="L641"/>
      <c r="M641" s="18"/>
      <c r="N641"/>
      <c r="O641" s="13"/>
      <c r="P641" s="13"/>
      <c r="Q641" s="13"/>
      <c r="R641"/>
    </row>
    <row r="642" spans="1:18" ht="20.100000000000001" customHeight="1" x14ac:dyDescent="0.3">
      <c r="A642"/>
      <c r="B642"/>
      <c r="C642"/>
      <c r="D642"/>
      <c r="E642"/>
      <c r="F642"/>
      <c r="G642"/>
      <c r="H642"/>
      <c r="I642"/>
      <c r="J642"/>
      <c r="K642"/>
      <c r="L642"/>
      <c r="M642" s="18"/>
      <c r="N642"/>
      <c r="O642" s="13"/>
      <c r="P642" s="13"/>
      <c r="Q642" s="13"/>
      <c r="R642"/>
    </row>
    <row r="643" spans="1:18" ht="20.100000000000001" customHeight="1" x14ac:dyDescent="0.3">
      <c r="A643"/>
      <c r="B643"/>
      <c r="C643"/>
      <c r="D643"/>
      <c r="E643"/>
      <c r="F643"/>
      <c r="G643"/>
      <c r="H643"/>
      <c r="I643"/>
      <c r="J643"/>
      <c r="K643"/>
      <c r="L643"/>
      <c r="M643" s="18"/>
      <c r="N643"/>
      <c r="O643" s="13"/>
      <c r="P643" s="13"/>
      <c r="Q643" s="13"/>
      <c r="R643"/>
    </row>
    <row r="644" spans="1:18" ht="20.100000000000001" customHeight="1" x14ac:dyDescent="0.3">
      <c r="A644"/>
      <c r="B644"/>
      <c r="C644"/>
      <c r="D644"/>
      <c r="E644"/>
      <c r="F644"/>
      <c r="G644"/>
      <c r="H644"/>
      <c r="I644"/>
      <c r="J644"/>
      <c r="K644"/>
      <c r="L644"/>
      <c r="M644" s="18"/>
      <c r="N644"/>
      <c r="O644" s="13"/>
      <c r="P644" s="13"/>
      <c r="Q644" s="13"/>
      <c r="R644"/>
    </row>
    <row r="645" spans="1:18" ht="20.100000000000001" customHeight="1" x14ac:dyDescent="0.3">
      <c r="A645"/>
      <c r="B645"/>
      <c r="C645"/>
      <c r="D645"/>
      <c r="E645"/>
      <c r="F645"/>
      <c r="G645"/>
      <c r="H645"/>
      <c r="I645"/>
      <c r="J645"/>
      <c r="K645"/>
      <c r="L645"/>
      <c r="M645" s="18"/>
      <c r="N645"/>
      <c r="O645" s="13"/>
      <c r="P645" s="13"/>
      <c r="Q645" s="13"/>
      <c r="R645"/>
    </row>
    <row r="646" spans="1:18" ht="20.100000000000001" customHeight="1" x14ac:dyDescent="0.3">
      <c r="A646"/>
      <c r="B646"/>
      <c r="C646"/>
      <c r="D646"/>
      <c r="E646"/>
      <c r="F646"/>
      <c r="G646"/>
      <c r="H646"/>
      <c r="I646"/>
      <c r="J646"/>
      <c r="K646"/>
      <c r="L646"/>
      <c r="M646" s="18"/>
      <c r="N646"/>
      <c r="O646" s="13"/>
      <c r="P646" s="13"/>
      <c r="Q646" s="13"/>
      <c r="R646"/>
    </row>
    <row r="647" spans="1:18" ht="20.100000000000001" customHeight="1" x14ac:dyDescent="0.3">
      <c r="A647"/>
      <c r="B647"/>
      <c r="C647"/>
      <c r="D647"/>
      <c r="E647"/>
      <c r="F647"/>
      <c r="G647"/>
      <c r="H647"/>
      <c r="I647"/>
      <c r="J647"/>
      <c r="K647"/>
      <c r="L647"/>
      <c r="M647" s="18"/>
      <c r="N647"/>
      <c r="O647" s="13"/>
      <c r="P647" s="13"/>
      <c r="Q647" s="13"/>
      <c r="R647"/>
    </row>
    <row r="648" spans="1:18" ht="20.100000000000001" customHeight="1" x14ac:dyDescent="0.3">
      <c r="A648"/>
      <c r="B648"/>
      <c r="C648"/>
      <c r="D648"/>
      <c r="E648"/>
      <c r="F648"/>
      <c r="G648"/>
      <c r="H648"/>
      <c r="I648"/>
      <c r="J648"/>
      <c r="K648"/>
      <c r="L648"/>
      <c r="M648" s="18"/>
      <c r="N648"/>
      <c r="O648" s="13"/>
      <c r="P648" s="13"/>
      <c r="Q648" s="13"/>
      <c r="R648"/>
    </row>
    <row r="649" spans="1:18" ht="20.100000000000001" customHeight="1" x14ac:dyDescent="0.3">
      <c r="A649"/>
      <c r="B649"/>
      <c r="C649"/>
      <c r="D649"/>
      <c r="E649"/>
      <c r="F649"/>
      <c r="G649"/>
      <c r="H649"/>
      <c r="I649"/>
      <c r="J649"/>
      <c r="K649"/>
      <c r="L649"/>
      <c r="M649" s="18"/>
      <c r="N649"/>
      <c r="O649" s="13"/>
      <c r="P649" s="13"/>
      <c r="Q649" s="13"/>
      <c r="R649"/>
    </row>
    <row r="650" spans="1:18" ht="20.100000000000001" customHeight="1" x14ac:dyDescent="0.3">
      <c r="A650"/>
      <c r="B650"/>
      <c r="C650"/>
      <c r="D650"/>
      <c r="E650"/>
      <c r="F650"/>
      <c r="G650"/>
      <c r="H650"/>
      <c r="I650"/>
      <c r="J650"/>
      <c r="K650"/>
      <c r="L650"/>
      <c r="M650" s="18"/>
      <c r="N650"/>
      <c r="O650" s="13"/>
      <c r="P650" s="13"/>
      <c r="Q650" s="13"/>
      <c r="R650"/>
    </row>
    <row r="651" spans="1:18" ht="20.100000000000001" customHeight="1" x14ac:dyDescent="0.3">
      <c r="A651"/>
      <c r="B651"/>
      <c r="C651"/>
      <c r="D651"/>
      <c r="E651"/>
      <c r="F651"/>
      <c r="G651"/>
      <c r="H651"/>
      <c r="I651"/>
      <c r="J651"/>
      <c r="K651"/>
      <c r="L651"/>
      <c r="M651" s="18"/>
      <c r="N651"/>
      <c r="O651" s="13"/>
      <c r="P651" s="13"/>
      <c r="Q651" s="13"/>
      <c r="R651"/>
    </row>
    <row r="652" spans="1:18" ht="20.100000000000001" customHeight="1" x14ac:dyDescent="0.3">
      <c r="A652"/>
      <c r="B652"/>
      <c r="C652"/>
      <c r="D652"/>
      <c r="E652"/>
      <c r="F652"/>
      <c r="G652"/>
      <c r="H652"/>
      <c r="I652"/>
      <c r="J652"/>
      <c r="K652"/>
      <c r="L652"/>
      <c r="M652" s="18"/>
      <c r="N652"/>
      <c r="O652" s="13"/>
      <c r="P652" s="13"/>
      <c r="Q652" s="13"/>
      <c r="R652"/>
    </row>
    <row r="653" spans="1:18" ht="20.100000000000001" customHeight="1" x14ac:dyDescent="0.3">
      <c r="A653"/>
      <c r="B653"/>
      <c r="C653"/>
      <c r="D653"/>
      <c r="E653"/>
      <c r="F653"/>
      <c r="G653"/>
      <c r="H653"/>
      <c r="I653"/>
      <c r="J653"/>
      <c r="K653"/>
      <c r="L653"/>
      <c r="M653" s="18"/>
      <c r="N653"/>
      <c r="O653" s="13"/>
      <c r="P653" s="13"/>
      <c r="Q653" s="13"/>
      <c r="R653"/>
    </row>
    <row r="654" spans="1:18" ht="20.100000000000001" customHeight="1" x14ac:dyDescent="0.3">
      <c r="A654"/>
      <c r="B654"/>
      <c r="C654"/>
      <c r="D654"/>
      <c r="E654"/>
      <c r="F654"/>
      <c r="G654"/>
      <c r="H654"/>
      <c r="I654"/>
      <c r="J654"/>
      <c r="K654"/>
      <c r="L654"/>
      <c r="M654" s="18"/>
      <c r="N654"/>
      <c r="O654" s="13"/>
      <c r="P654" s="13"/>
      <c r="Q654" s="13"/>
      <c r="R654"/>
    </row>
    <row r="655" spans="1:18" ht="20.100000000000001" customHeight="1" x14ac:dyDescent="0.3">
      <c r="A655"/>
      <c r="B655"/>
      <c r="C655"/>
      <c r="D655"/>
      <c r="E655"/>
      <c r="F655"/>
      <c r="G655"/>
      <c r="H655"/>
      <c r="I655"/>
      <c r="J655"/>
      <c r="K655"/>
      <c r="L655"/>
      <c r="M655" s="18"/>
      <c r="N655"/>
      <c r="O655" s="13"/>
      <c r="P655" s="13"/>
      <c r="Q655" s="13"/>
      <c r="R655"/>
    </row>
    <row r="656" spans="1:18" ht="20.100000000000001" customHeight="1" x14ac:dyDescent="0.3">
      <c r="A656"/>
      <c r="B656"/>
      <c r="C656"/>
      <c r="D656"/>
      <c r="E656"/>
      <c r="F656"/>
      <c r="G656"/>
      <c r="H656"/>
      <c r="I656"/>
      <c r="J656"/>
      <c r="K656"/>
      <c r="L656"/>
      <c r="M656" s="18"/>
      <c r="N656"/>
      <c r="O656" s="13"/>
      <c r="P656" s="13"/>
      <c r="Q656" s="13"/>
      <c r="R656"/>
    </row>
    <row r="657" spans="1:18" ht="20.100000000000001" customHeight="1" x14ac:dyDescent="0.3">
      <c r="A657"/>
      <c r="B657"/>
      <c r="C657"/>
      <c r="D657"/>
      <c r="E657"/>
      <c r="F657"/>
      <c r="G657"/>
      <c r="H657"/>
      <c r="I657"/>
      <c r="J657"/>
      <c r="K657"/>
      <c r="L657"/>
      <c r="M657" s="18"/>
      <c r="N657"/>
      <c r="O657" s="13"/>
      <c r="P657" s="13"/>
      <c r="Q657" s="13"/>
      <c r="R657"/>
    </row>
    <row r="658" spans="1:18" ht="20.100000000000001" customHeight="1" x14ac:dyDescent="0.3">
      <c r="A658"/>
      <c r="B658"/>
      <c r="C658"/>
      <c r="D658"/>
      <c r="E658"/>
      <c r="F658"/>
      <c r="G658"/>
      <c r="H658"/>
      <c r="I658"/>
      <c r="J658"/>
      <c r="K658"/>
      <c r="L658"/>
      <c r="M658" s="18"/>
      <c r="N658"/>
      <c r="O658" s="13"/>
      <c r="P658" s="13"/>
      <c r="Q658" s="13"/>
      <c r="R658"/>
    </row>
    <row r="659" spans="1:18" ht="20.100000000000001" customHeight="1" x14ac:dyDescent="0.3">
      <c r="A659"/>
      <c r="B659"/>
      <c r="C659"/>
      <c r="D659"/>
      <c r="E659"/>
      <c r="F659"/>
      <c r="G659"/>
      <c r="H659"/>
      <c r="I659"/>
      <c r="J659"/>
      <c r="K659"/>
      <c r="L659"/>
      <c r="M659" s="18"/>
      <c r="N659"/>
      <c r="O659" s="13"/>
      <c r="P659" s="13"/>
      <c r="Q659" s="13"/>
      <c r="R659"/>
    </row>
    <row r="660" spans="1:18" ht="20.100000000000001" customHeight="1" x14ac:dyDescent="0.3">
      <c r="A660"/>
      <c r="B660"/>
      <c r="C660"/>
      <c r="D660"/>
      <c r="E660"/>
      <c r="F660"/>
      <c r="G660"/>
      <c r="H660"/>
      <c r="I660"/>
      <c r="J660"/>
      <c r="K660"/>
      <c r="L660"/>
      <c r="M660" s="18"/>
      <c r="N660"/>
      <c r="O660" s="13"/>
      <c r="P660" s="13"/>
      <c r="Q660" s="13"/>
      <c r="R660"/>
    </row>
    <row r="661" spans="1:18" ht="20.100000000000001" customHeight="1" x14ac:dyDescent="0.3">
      <c r="A661"/>
      <c r="B661"/>
      <c r="C661"/>
      <c r="D661"/>
      <c r="E661"/>
      <c r="F661"/>
      <c r="G661"/>
      <c r="H661"/>
      <c r="I661"/>
      <c r="J661"/>
      <c r="K661"/>
      <c r="L661"/>
      <c r="M661" s="18"/>
      <c r="N661"/>
      <c r="O661" s="13"/>
      <c r="P661" s="13"/>
      <c r="Q661" s="13"/>
      <c r="R661"/>
    </row>
    <row r="662" spans="1:18" ht="20.100000000000001" customHeight="1" x14ac:dyDescent="0.3">
      <c r="A662"/>
      <c r="B662"/>
      <c r="C662"/>
      <c r="D662"/>
      <c r="E662"/>
      <c r="F662"/>
      <c r="G662"/>
      <c r="H662"/>
      <c r="I662"/>
      <c r="J662"/>
      <c r="K662"/>
      <c r="L662"/>
      <c r="M662" s="18"/>
      <c r="N662"/>
      <c r="O662" s="13"/>
      <c r="P662" s="13"/>
      <c r="Q662" s="13"/>
      <c r="R662"/>
    </row>
    <row r="663" spans="1:18" ht="20.100000000000001" customHeight="1" x14ac:dyDescent="0.3">
      <c r="A663"/>
      <c r="B663"/>
      <c r="C663"/>
      <c r="D663"/>
      <c r="E663"/>
      <c r="F663"/>
      <c r="G663"/>
      <c r="H663"/>
      <c r="I663"/>
      <c r="J663"/>
      <c r="K663"/>
      <c r="L663"/>
      <c r="M663" s="18"/>
      <c r="N663"/>
      <c r="O663" s="13"/>
      <c r="P663" s="13"/>
      <c r="Q663" s="13"/>
      <c r="R663"/>
    </row>
    <row r="664" spans="1:18" ht="20.100000000000001" customHeight="1" x14ac:dyDescent="0.3">
      <c r="A664"/>
      <c r="B664"/>
      <c r="C664"/>
      <c r="D664"/>
      <c r="E664"/>
      <c r="F664"/>
      <c r="G664"/>
      <c r="H664"/>
      <c r="I664"/>
      <c r="J664"/>
      <c r="K664"/>
      <c r="L664"/>
      <c r="M664" s="18"/>
      <c r="N664"/>
      <c r="O664" s="13"/>
      <c r="P664" s="13"/>
      <c r="Q664" s="13"/>
      <c r="R664"/>
    </row>
    <row r="665" spans="1:18" ht="20.100000000000001" customHeight="1" x14ac:dyDescent="0.3">
      <c r="A665"/>
      <c r="B665"/>
      <c r="C665"/>
      <c r="D665"/>
      <c r="E665"/>
      <c r="F665"/>
      <c r="G665"/>
      <c r="H665"/>
      <c r="I665"/>
      <c r="J665"/>
      <c r="K665"/>
      <c r="L665"/>
      <c r="M665" s="18"/>
      <c r="N665"/>
      <c r="O665" s="13"/>
      <c r="P665" s="13"/>
      <c r="Q665" s="13"/>
      <c r="R665"/>
    </row>
    <row r="666" spans="1:18" ht="20.100000000000001" customHeight="1" x14ac:dyDescent="0.3">
      <c r="A666"/>
      <c r="B666"/>
      <c r="C666"/>
      <c r="D666"/>
      <c r="E666"/>
      <c r="F666"/>
      <c r="G666"/>
      <c r="H666"/>
      <c r="I666"/>
      <c r="J666"/>
      <c r="K666"/>
      <c r="L666"/>
      <c r="M666" s="18"/>
      <c r="N666"/>
      <c r="O666" s="13"/>
      <c r="P666" s="13"/>
      <c r="Q666" s="13"/>
      <c r="R666"/>
    </row>
    <row r="667" spans="1:18" ht="20.100000000000001" customHeight="1" x14ac:dyDescent="0.3">
      <c r="A667"/>
      <c r="B667"/>
      <c r="C667"/>
      <c r="D667"/>
      <c r="E667"/>
      <c r="F667"/>
      <c r="G667"/>
      <c r="H667"/>
      <c r="I667"/>
      <c r="J667"/>
      <c r="K667"/>
      <c r="L667"/>
      <c r="M667" s="18"/>
      <c r="N667"/>
      <c r="O667" s="13"/>
      <c r="P667" s="13"/>
      <c r="Q667" s="13"/>
      <c r="R667"/>
    </row>
    <row r="668" spans="1:18" ht="20.100000000000001" customHeight="1" x14ac:dyDescent="0.3">
      <c r="A668"/>
      <c r="B668"/>
      <c r="C668"/>
      <c r="D668"/>
      <c r="E668"/>
      <c r="F668"/>
      <c r="G668"/>
      <c r="H668"/>
      <c r="I668"/>
      <c r="J668"/>
      <c r="K668"/>
      <c r="L668"/>
      <c r="M668" s="18"/>
      <c r="N668"/>
      <c r="O668" s="13"/>
      <c r="P668" s="13"/>
      <c r="Q668" s="13"/>
      <c r="R668"/>
    </row>
    <row r="669" spans="1:18" ht="20.100000000000001" customHeight="1" x14ac:dyDescent="0.3">
      <c r="A669"/>
      <c r="B669"/>
      <c r="C669"/>
      <c r="D669"/>
      <c r="E669"/>
      <c r="F669"/>
      <c r="G669"/>
      <c r="H669"/>
      <c r="I669"/>
      <c r="J669"/>
      <c r="K669"/>
      <c r="L669"/>
      <c r="M669" s="18"/>
      <c r="N669"/>
      <c r="O669" s="13"/>
      <c r="P669" s="13"/>
      <c r="Q669" s="13"/>
      <c r="R669"/>
    </row>
    <row r="670" spans="1:18" ht="20.100000000000001" customHeight="1" x14ac:dyDescent="0.3">
      <c r="A670"/>
      <c r="B670"/>
      <c r="C670"/>
      <c r="D670"/>
      <c r="E670"/>
      <c r="F670"/>
      <c r="G670"/>
      <c r="H670"/>
      <c r="I670"/>
      <c r="J670"/>
      <c r="K670"/>
      <c r="L670"/>
      <c r="M670" s="18"/>
      <c r="N670"/>
      <c r="O670" s="13"/>
      <c r="P670" s="13"/>
      <c r="Q670" s="13"/>
      <c r="R670"/>
    </row>
    <row r="671" spans="1:18" ht="20.100000000000001" customHeight="1" x14ac:dyDescent="0.3">
      <c r="A671"/>
      <c r="B671"/>
      <c r="C671"/>
      <c r="D671"/>
      <c r="E671"/>
      <c r="F671"/>
      <c r="G671"/>
      <c r="H671"/>
      <c r="I671"/>
      <c r="J671"/>
      <c r="K671"/>
      <c r="L671"/>
      <c r="M671" s="18"/>
      <c r="N671"/>
      <c r="O671" s="13"/>
      <c r="P671" s="13"/>
      <c r="Q671" s="13"/>
      <c r="R671"/>
    </row>
    <row r="672" spans="1:18" ht="20.100000000000001" customHeight="1" x14ac:dyDescent="0.3">
      <c r="A672"/>
      <c r="B672"/>
      <c r="C672"/>
      <c r="D672"/>
      <c r="E672"/>
      <c r="F672"/>
      <c r="G672"/>
      <c r="H672"/>
      <c r="I672"/>
      <c r="J672"/>
      <c r="K672"/>
      <c r="L672"/>
      <c r="M672" s="18"/>
      <c r="N672"/>
      <c r="O672" s="13"/>
      <c r="P672" s="13"/>
      <c r="Q672" s="13"/>
      <c r="R672"/>
    </row>
    <row r="673" spans="1:18" ht="20.100000000000001" customHeight="1" x14ac:dyDescent="0.3">
      <c r="A673"/>
      <c r="B673"/>
      <c r="C673"/>
      <c r="D673"/>
      <c r="E673"/>
      <c r="F673"/>
      <c r="G673"/>
      <c r="H673"/>
      <c r="I673"/>
      <c r="J673"/>
      <c r="K673"/>
      <c r="L673"/>
      <c r="M673" s="18"/>
      <c r="N673"/>
      <c r="O673" s="13"/>
      <c r="P673" s="13"/>
      <c r="Q673" s="13"/>
      <c r="R673"/>
    </row>
    <row r="674" spans="1:18" ht="20.100000000000001" customHeight="1" x14ac:dyDescent="0.3">
      <c r="A674"/>
      <c r="B674"/>
      <c r="C674"/>
      <c r="D674"/>
      <c r="E674"/>
      <c r="F674"/>
      <c r="G674"/>
      <c r="H674"/>
      <c r="I674"/>
      <c r="J674"/>
      <c r="K674"/>
      <c r="L674"/>
      <c r="M674" s="18"/>
      <c r="N674"/>
      <c r="O674" s="13"/>
      <c r="P674" s="13"/>
      <c r="Q674" s="13"/>
      <c r="R674"/>
    </row>
    <row r="675" spans="1:18" ht="20.100000000000001" customHeight="1" x14ac:dyDescent="0.3">
      <c r="A675"/>
      <c r="B675"/>
      <c r="C675"/>
      <c r="D675"/>
      <c r="E675"/>
      <c r="F675"/>
      <c r="G675"/>
      <c r="H675"/>
      <c r="I675"/>
      <c r="J675"/>
      <c r="K675"/>
      <c r="L675"/>
      <c r="M675" s="18"/>
      <c r="N675"/>
      <c r="O675" s="13"/>
      <c r="P675" s="13"/>
      <c r="Q675" s="13"/>
      <c r="R675"/>
    </row>
    <row r="676" spans="1:18" ht="20.100000000000001" customHeight="1" x14ac:dyDescent="0.3">
      <c r="A676"/>
      <c r="B676"/>
      <c r="C676"/>
      <c r="D676"/>
      <c r="E676"/>
      <c r="F676"/>
      <c r="G676"/>
      <c r="H676"/>
      <c r="I676"/>
      <c r="J676"/>
      <c r="K676"/>
      <c r="L676"/>
      <c r="M676" s="18"/>
      <c r="N676"/>
      <c r="O676" s="13"/>
      <c r="P676" s="13"/>
      <c r="Q676" s="13"/>
      <c r="R676"/>
    </row>
    <row r="677" spans="1:18" ht="20.100000000000001" customHeight="1" x14ac:dyDescent="0.3">
      <c r="A677"/>
      <c r="B677"/>
      <c r="C677"/>
      <c r="D677"/>
      <c r="E677"/>
      <c r="F677"/>
      <c r="G677"/>
      <c r="H677"/>
      <c r="I677"/>
      <c r="J677"/>
      <c r="K677"/>
      <c r="L677"/>
      <c r="M677" s="18"/>
      <c r="N677"/>
      <c r="O677" s="13"/>
      <c r="P677" s="13"/>
      <c r="Q677" s="13"/>
      <c r="R677"/>
    </row>
    <row r="678" spans="1:18" ht="20.100000000000001" customHeight="1" x14ac:dyDescent="0.3">
      <c r="A678"/>
      <c r="B678"/>
      <c r="C678"/>
      <c r="D678"/>
      <c r="E678"/>
      <c r="F678"/>
      <c r="G678"/>
      <c r="H678"/>
      <c r="I678"/>
      <c r="J678"/>
      <c r="K678"/>
      <c r="L678"/>
      <c r="M678" s="18"/>
      <c r="N678"/>
      <c r="O678" s="13"/>
      <c r="P678" s="13"/>
      <c r="Q678" s="13"/>
      <c r="R678"/>
    </row>
    <row r="679" spans="1:18" ht="20.100000000000001" customHeight="1" x14ac:dyDescent="0.3">
      <c r="A679"/>
      <c r="B679"/>
      <c r="C679"/>
      <c r="D679"/>
      <c r="E679"/>
      <c r="F679"/>
      <c r="G679"/>
      <c r="H679"/>
      <c r="I679"/>
      <c r="J679"/>
      <c r="K679"/>
      <c r="L679"/>
      <c r="M679" s="18"/>
      <c r="N679"/>
      <c r="O679" s="13"/>
      <c r="P679" s="13"/>
      <c r="Q679" s="13"/>
      <c r="R679"/>
    </row>
    <row r="680" spans="1:18" ht="20.100000000000001" customHeight="1" x14ac:dyDescent="0.3">
      <c r="A680"/>
      <c r="B680"/>
      <c r="C680"/>
      <c r="D680"/>
      <c r="E680"/>
      <c r="F680"/>
      <c r="G680"/>
      <c r="H680"/>
      <c r="I680"/>
      <c r="J680"/>
      <c r="K680"/>
      <c r="L680"/>
      <c r="M680" s="18"/>
      <c r="N680"/>
      <c r="O680" s="13"/>
      <c r="P680" s="13"/>
      <c r="Q680" s="13"/>
      <c r="R680"/>
    </row>
    <row r="681" spans="1:18" ht="20.100000000000001" customHeight="1" x14ac:dyDescent="0.3">
      <c r="A681"/>
      <c r="B681"/>
      <c r="C681"/>
      <c r="D681"/>
      <c r="E681"/>
      <c r="F681"/>
      <c r="G681"/>
      <c r="H681"/>
      <c r="I681"/>
      <c r="J681"/>
      <c r="K681"/>
      <c r="L681"/>
      <c r="M681" s="18"/>
      <c r="N681"/>
      <c r="O681" s="13"/>
      <c r="P681" s="13"/>
      <c r="Q681" s="13"/>
      <c r="R681"/>
    </row>
    <row r="682" spans="1:18" ht="20.100000000000001" customHeight="1" x14ac:dyDescent="0.3">
      <c r="A682"/>
      <c r="B682"/>
      <c r="C682"/>
      <c r="D682"/>
      <c r="E682"/>
      <c r="F682"/>
      <c r="G682"/>
      <c r="H682"/>
      <c r="I682"/>
      <c r="J682"/>
      <c r="K682"/>
      <c r="L682"/>
      <c r="M682" s="18"/>
      <c r="N682"/>
      <c r="O682" s="13"/>
      <c r="P682" s="13"/>
      <c r="Q682" s="13"/>
      <c r="R682"/>
    </row>
    <row r="683" spans="1:18" ht="20.100000000000001" customHeight="1" x14ac:dyDescent="0.3">
      <c r="A683"/>
      <c r="B683"/>
      <c r="C683"/>
      <c r="D683"/>
      <c r="E683"/>
      <c r="F683"/>
      <c r="G683"/>
      <c r="H683"/>
      <c r="I683"/>
      <c r="J683"/>
      <c r="K683"/>
      <c r="L683"/>
      <c r="M683" s="18"/>
      <c r="N683"/>
      <c r="O683" s="13"/>
      <c r="P683" s="13"/>
      <c r="Q683" s="13"/>
      <c r="R683"/>
    </row>
    <row r="684" spans="1:18" ht="20.100000000000001" customHeight="1" x14ac:dyDescent="0.3">
      <c r="A684"/>
      <c r="B684"/>
      <c r="C684"/>
      <c r="D684"/>
      <c r="E684"/>
      <c r="F684"/>
      <c r="G684"/>
      <c r="H684"/>
      <c r="I684"/>
      <c r="J684"/>
      <c r="K684"/>
      <c r="L684"/>
      <c r="M684" s="18"/>
      <c r="N684"/>
      <c r="O684" s="13"/>
      <c r="P684" s="13"/>
      <c r="Q684" s="13"/>
      <c r="R684"/>
    </row>
    <row r="685" spans="1:18" ht="20.100000000000001" customHeight="1" x14ac:dyDescent="0.3">
      <c r="A685"/>
      <c r="B685"/>
      <c r="C685"/>
      <c r="D685"/>
      <c r="E685"/>
      <c r="F685"/>
      <c r="G685"/>
      <c r="H685"/>
      <c r="I685"/>
      <c r="J685"/>
      <c r="K685"/>
      <c r="L685"/>
      <c r="M685" s="18"/>
      <c r="N685"/>
      <c r="O685" s="13"/>
      <c r="P685" s="13"/>
      <c r="Q685" s="13"/>
      <c r="R685"/>
    </row>
    <row r="686" spans="1:18" ht="20.100000000000001" customHeight="1" x14ac:dyDescent="0.3">
      <c r="A686"/>
      <c r="B686"/>
      <c r="C686"/>
      <c r="D686"/>
      <c r="E686"/>
      <c r="F686"/>
      <c r="G686"/>
      <c r="H686"/>
      <c r="I686"/>
      <c r="J686"/>
      <c r="K686"/>
      <c r="L686"/>
      <c r="M686" s="18"/>
      <c r="N686"/>
      <c r="O686" s="13"/>
      <c r="P686" s="13"/>
      <c r="Q686" s="13"/>
      <c r="R686"/>
    </row>
    <row r="687" spans="1:18" ht="20.100000000000001" customHeight="1" x14ac:dyDescent="0.3">
      <c r="A687"/>
      <c r="B687"/>
      <c r="C687"/>
      <c r="D687"/>
      <c r="E687"/>
      <c r="F687"/>
      <c r="G687"/>
      <c r="H687"/>
      <c r="I687"/>
      <c r="J687"/>
      <c r="K687"/>
      <c r="L687"/>
      <c r="M687" s="18"/>
      <c r="N687"/>
      <c r="O687" s="13"/>
      <c r="P687" s="13"/>
      <c r="Q687" s="13"/>
      <c r="R687"/>
    </row>
    <row r="688" spans="1:18" ht="20.100000000000001" customHeight="1" x14ac:dyDescent="0.3">
      <c r="A688"/>
      <c r="B688"/>
      <c r="C688"/>
      <c r="D688"/>
      <c r="E688"/>
      <c r="F688"/>
      <c r="G688"/>
      <c r="H688"/>
      <c r="I688"/>
      <c r="J688"/>
      <c r="K688"/>
      <c r="L688"/>
      <c r="M688" s="18"/>
      <c r="N688"/>
      <c r="O688" s="13"/>
      <c r="P688" s="13"/>
      <c r="Q688" s="13"/>
      <c r="R688"/>
    </row>
    <row r="689" spans="1:18" ht="20.100000000000001" customHeight="1" x14ac:dyDescent="0.3">
      <c r="A689"/>
      <c r="B689"/>
      <c r="C689"/>
      <c r="D689"/>
      <c r="E689"/>
      <c r="F689"/>
      <c r="G689"/>
      <c r="H689"/>
      <c r="I689"/>
      <c r="J689"/>
      <c r="K689"/>
      <c r="L689"/>
      <c r="M689" s="18"/>
      <c r="N689"/>
      <c r="O689" s="13"/>
      <c r="P689" s="13"/>
      <c r="Q689" s="13"/>
      <c r="R689"/>
    </row>
    <row r="690" spans="1:18" ht="20.100000000000001" customHeight="1" x14ac:dyDescent="0.3">
      <c r="A690"/>
      <c r="B690"/>
      <c r="C690"/>
      <c r="D690"/>
      <c r="E690"/>
      <c r="F690"/>
      <c r="G690"/>
      <c r="H690"/>
      <c r="I690"/>
      <c r="J690"/>
      <c r="K690"/>
      <c r="L690"/>
      <c r="M690" s="18"/>
      <c r="N690"/>
      <c r="O690" s="13"/>
      <c r="P690" s="13"/>
      <c r="Q690" s="13"/>
      <c r="R690"/>
    </row>
    <row r="691" spans="1:18" ht="20.100000000000001" customHeight="1" x14ac:dyDescent="0.3">
      <c r="A691"/>
      <c r="B691"/>
      <c r="C691"/>
      <c r="D691"/>
      <c r="E691"/>
      <c r="F691"/>
      <c r="G691"/>
      <c r="H691"/>
      <c r="I691"/>
      <c r="J691"/>
      <c r="K691"/>
      <c r="L691"/>
      <c r="M691" s="18"/>
      <c r="N691"/>
      <c r="O691" s="13"/>
      <c r="P691" s="13"/>
      <c r="Q691" s="13"/>
      <c r="R691"/>
    </row>
    <row r="692" spans="1:18" ht="20.100000000000001" customHeight="1" x14ac:dyDescent="0.3">
      <c r="A692"/>
      <c r="B692"/>
      <c r="C692"/>
      <c r="D692"/>
      <c r="E692"/>
      <c r="F692"/>
      <c r="G692"/>
      <c r="H692"/>
      <c r="I692"/>
      <c r="J692"/>
      <c r="K692"/>
      <c r="L692"/>
      <c r="M692" s="18"/>
      <c r="N692"/>
      <c r="O692" s="13"/>
      <c r="P692" s="13"/>
      <c r="Q692" s="13"/>
      <c r="R692"/>
    </row>
    <row r="693" spans="1:18" ht="20.100000000000001" customHeight="1" x14ac:dyDescent="0.3">
      <c r="A693"/>
      <c r="B693"/>
      <c r="C693"/>
      <c r="D693"/>
      <c r="E693"/>
      <c r="F693"/>
      <c r="G693"/>
      <c r="H693"/>
      <c r="I693"/>
      <c r="J693"/>
      <c r="K693"/>
      <c r="L693"/>
      <c r="M693" s="18"/>
      <c r="N693"/>
      <c r="O693" s="13"/>
      <c r="P693" s="13"/>
      <c r="Q693" s="13"/>
      <c r="R693"/>
    </row>
    <row r="694" spans="1:18" ht="20.100000000000001" customHeight="1" x14ac:dyDescent="0.3">
      <c r="A694"/>
      <c r="B694"/>
      <c r="C694"/>
      <c r="D694"/>
      <c r="E694"/>
      <c r="F694"/>
      <c r="G694"/>
      <c r="H694"/>
      <c r="I694"/>
      <c r="J694"/>
      <c r="K694"/>
      <c r="L694"/>
      <c r="M694" s="18"/>
      <c r="N694"/>
      <c r="O694" s="13"/>
      <c r="P694" s="13"/>
      <c r="Q694" s="13"/>
      <c r="R694"/>
    </row>
    <row r="695" spans="1:18" ht="20.100000000000001" customHeight="1" x14ac:dyDescent="0.3">
      <c r="A695"/>
      <c r="B695"/>
      <c r="C695"/>
      <c r="D695"/>
      <c r="E695"/>
      <c r="F695"/>
      <c r="G695"/>
      <c r="H695"/>
      <c r="I695"/>
      <c r="J695"/>
      <c r="K695"/>
      <c r="L695"/>
      <c r="M695" s="18"/>
      <c r="N695"/>
      <c r="O695" s="13"/>
      <c r="P695" s="13"/>
      <c r="Q695" s="13"/>
      <c r="R695"/>
    </row>
    <row r="696" spans="1:18" ht="20.100000000000001" customHeight="1" x14ac:dyDescent="0.3">
      <c r="A696"/>
      <c r="B696"/>
      <c r="C696"/>
      <c r="D696"/>
      <c r="E696"/>
      <c r="F696"/>
      <c r="G696"/>
      <c r="H696"/>
      <c r="I696"/>
      <c r="J696"/>
      <c r="K696"/>
      <c r="L696"/>
      <c r="M696" s="18"/>
      <c r="N696"/>
      <c r="O696" s="13"/>
      <c r="P696" s="13"/>
      <c r="Q696" s="13"/>
      <c r="R696"/>
    </row>
    <row r="697" spans="1:18" ht="20.100000000000001" customHeight="1" x14ac:dyDescent="0.3">
      <c r="A697"/>
      <c r="B697"/>
      <c r="C697"/>
      <c r="D697"/>
      <c r="E697"/>
      <c r="F697"/>
      <c r="G697"/>
      <c r="H697"/>
      <c r="I697"/>
      <c r="J697"/>
      <c r="K697"/>
      <c r="L697"/>
      <c r="M697" s="18"/>
      <c r="N697"/>
      <c r="O697" s="13"/>
      <c r="P697" s="13"/>
      <c r="Q697" s="13"/>
      <c r="R697"/>
    </row>
    <row r="698" spans="1:18" ht="20.100000000000001" customHeight="1" x14ac:dyDescent="0.3">
      <c r="A698"/>
      <c r="B698"/>
      <c r="C698"/>
      <c r="D698"/>
      <c r="E698"/>
      <c r="F698"/>
      <c r="G698"/>
      <c r="H698"/>
      <c r="I698"/>
      <c r="J698"/>
      <c r="K698"/>
      <c r="L698"/>
      <c r="M698" s="18"/>
      <c r="N698"/>
      <c r="O698" s="13"/>
      <c r="P698" s="13"/>
      <c r="Q698" s="13"/>
      <c r="R698"/>
    </row>
    <row r="699" spans="1:18" ht="20.100000000000001" customHeight="1" x14ac:dyDescent="0.3">
      <c r="A699"/>
      <c r="B699"/>
      <c r="C699"/>
      <c r="D699"/>
      <c r="E699"/>
      <c r="F699"/>
      <c r="G699"/>
      <c r="H699"/>
      <c r="I699"/>
      <c r="J699"/>
      <c r="K699"/>
      <c r="L699"/>
      <c r="M699" s="18"/>
      <c r="N699"/>
      <c r="O699" s="13"/>
      <c r="P699" s="13"/>
      <c r="Q699" s="13"/>
      <c r="R699"/>
    </row>
    <row r="700" spans="1:18" ht="20.100000000000001" customHeight="1" x14ac:dyDescent="0.3">
      <c r="A700"/>
      <c r="B700"/>
      <c r="C700"/>
      <c r="D700"/>
      <c r="E700"/>
      <c r="F700"/>
      <c r="G700"/>
      <c r="H700"/>
      <c r="I700"/>
      <c r="J700"/>
      <c r="K700"/>
      <c r="L700"/>
      <c r="M700" s="18"/>
      <c r="N700"/>
      <c r="O700" s="13"/>
      <c r="P700" s="13"/>
      <c r="Q700" s="13"/>
      <c r="R700"/>
    </row>
    <row r="701" spans="1:18" ht="20.100000000000001" customHeight="1" x14ac:dyDescent="0.3">
      <c r="A701"/>
      <c r="B701"/>
      <c r="C701"/>
      <c r="D701"/>
      <c r="E701"/>
      <c r="F701"/>
      <c r="G701"/>
      <c r="H701"/>
      <c r="I701"/>
      <c r="J701"/>
      <c r="K701"/>
      <c r="L701"/>
      <c r="M701" s="18"/>
      <c r="N701"/>
      <c r="O701" s="13"/>
      <c r="P701" s="13"/>
      <c r="Q701" s="13"/>
      <c r="R701"/>
    </row>
    <row r="702" spans="1:18" ht="20.100000000000001" customHeight="1" x14ac:dyDescent="0.3">
      <c r="A702"/>
      <c r="B702"/>
      <c r="C702"/>
      <c r="D702"/>
      <c r="E702"/>
      <c r="F702"/>
      <c r="G702"/>
      <c r="H702"/>
      <c r="I702"/>
      <c r="J702"/>
      <c r="K702"/>
      <c r="L702"/>
      <c r="M702" s="18"/>
      <c r="N702"/>
      <c r="O702" s="13"/>
      <c r="P702" s="13"/>
      <c r="Q702" s="13"/>
      <c r="R702"/>
    </row>
    <row r="703" spans="1:18" ht="20.100000000000001" customHeight="1" x14ac:dyDescent="0.3">
      <c r="A703"/>
      <c r="B703"/>
      <c r="C703"/>
      <c r="D703"/>
      <c r="E703"/>
      <c r="F703"/>
      <c r="G703"/>
      <c r="H703"/>
      <c r="I703"/>
      <c r="J703"/>
      <c r="K703"/>
      <c r="L703"/>
      <c r="M703" s="18"/>
      <c r="N703"/>
      <c r="O703" s="13"/>
      <c r="P703" s="13"/>
      <c r="Q703" s="13"/>
      <c r="R703"/>
    </row>
    <row r="704" spans="1:18" ht="20.100000000000001" customHeight="1" x14ac:dyDescent="0.3">
      <c r="A704"/>
      <c r="B704"/>
      <c r="C704"/>
      <c r="D704"/>
      <c r="E704"/>
      <c r="F704"/>
      <c r="G704"/>
      <c r="H704"/>
      <c r="I704"/>
      <c r="J704"/>
      <c r="K704"/>
      <c r="L704"/>
      <c r="M704" s="18"/>
      <c r="N704"/>
      <c r="O704" s="13"/>
      <c r="P704" s="13"/>
      <c r="Q704" s="13"/>
      <c r="R704"/>
    </row>
    <row r="705" spans="1:18" ht="20.100000000000001" customHeight="1" x14ac:dyDescent="0.3">
      <c r="A705"/>
      <c r="B705"/>
      <c r="C705"/>
      <c r="D705"/>
      <c r="E705"/>
      <c r="F705"/>
      <c r="G705"/>
      <c r="H705"/>
      <c r="I705"/>
      <c r="J705"/>
      <c r="K705"/>
      <c r="L705"/>
      <c r="M705" s="18"/>
      <c r="N705"/>
      <c r="O705" s="13"/>
      <c r="P705" s="13"/>
      <c r="Q705" s="13"/>
      <c r="R705"/>
    </row>
    <row r="706" spans="1:18" ht="20.100000000000001" customHeight="1" x14ac:dyDescent="0.3">
      <c r="A706"/>
      <c r="B706"/>
      <c r="C706"/>
      <c r="D706"/>
      <c r="E706"/>
      <c r="F706"/>
      <c r="G706"/>
      <c r="H706"/>
      <c r="I706"/>
      <c r="J706"/>
      <c r="K706"/>
      <c r="L706"/>
      <c r="M706" s="18"/>
      <c r="N706"/>
      <c r="O706" s="13"/>
      <c r="P706" s="13"/>
      <c r="Q706" s="13"/>
      <c r="R706"/>
    </row>
    <row r="707" spans="1:18" ht="20.100000000000001" customHeight="1" x14ac:dyDescent="0.3">
      <c r="A707"/>
      <c r="B707"/>
      <c r="C707"/>
      <c r="D707"/>
      <c r="E707"/>
      <c r="F707"/>
      <c r="G707"/>
      <c r="H707"/>
      <c r="I707"/>
      <c r="J707"/>
      <c r="K707"/>
      <c r="L707"/>
      <c r="M707" s="18"/>
      <c r="N707"/>
      <c r="O707" s="13"/>
      <c r="P707" s="13"/>
      <c r="Q707" s="13"/>
      <c r="R707"/>
    </row>
    <row r="708" spans="1:18" ht="20.100000000000001" customHeight="1" x14ac:dyDescent="0.3">
      <c r="A708"/>
      <c r="B708"/>
      <c r="C708"/>
      <c r="D708"/>
      <c r="E708"/>
      <c r="F708"/>
      <c r="G708"/>
      <c r="H708"/>
      <c r="I708"/>
      <c r="J708"/>
      <c r="K708"/>
      <c r="L708"/>
      <c r="M708" s="18"/>
      <c r="N708"/>
      <c r="O708" s="13"/>
      <c r="P708" s="13"/>
      <c r="Q708" s="13"/>
      <c r="R708"/>
    </row>
    <row r="709" spans="1:18" ht="20.100000000000001" customHeight="1" x14ac:dyDescent="0.3">
      <c r="A709"/>
      <c r="B709"/>
      <c r="C709"/>
      <c r="D709"/>
      <c r="E709"/>
      <c r="F709"/>
      <c r="G709"/>
      <c r="H709"/>
      <c r="I709"/>
      <c r="J709"/>
      <c r="K709"/>
      <c r="L709"/>
      <c r="M709" s="18"/>
      <c r="N709"/>
      <c r="O709" s="13"/>
      <c r="P709" s="13"/>
      <c r="Q709" s="13"/>
      <c r="R709"/>
    </row>
    <row r="710" spans="1:18" ht="20.100000000000001" customHeight="1" x14ac:dyDescent="0.3">
      <c r="A710"/>
      <c r="B710"/>
      <c r="C710"/>
      <c r="D710"/>
      <c r="E710"/>
      <c r="F710"/>
      <c r="G710"/>
      <c r="H710"/>
      <c r="I710"/>
      <c r="J710"/>
      <c r="K710"/>
      <c r="L710"/>
      <c r="M710" s="18"/>
      <c r="N710"/>
      <c r="O710" s="13"/>
      <c r="P710" s="13"/>
      <c r="Q710" s="13"/>
      <c r="R710"/>
    </row>
    <row r="711" spans="1:18" ht="20.100000000000001" customHeight="1" x14ac:dyDescent="0.3">
      <c r="A711"/>
      <c r="B711"/>
      <c r="C711"/>
      <c r="D711"/>
      <c r="E711"/>
      <c r="F711"/>
      <c r="G711"/>
      <c r="H711"/>
      <c r="I711"/>
      <c r="J711"/>
      <c r="K711"/>
      <c r="L711"/>
      <c r="M711" s="18"/>
      <c r="N711"/>
      <c r="O711" s="13"/>
      <c r="P711" s="13"/>
      <c r="Q711" s="13"/>
      <c r="R711"/>
    </row>
    <row r="712" spans="1:18" ht="20.100000000000001" customHeight="1" x14ac:dyDescent="0.3">
      <c r="A712"/>
      <c r="B712"/>
      <c r="C712"/>
      <c r="D712"/>
      <c r="E712"/>
      <c r="F712"/>
      <c r="G712"/>
      <c r="H712"/>
      <c r="I712"/>
      <c r="J712"/>
      <c r="K712"/>
      <c r="L712"/>
      <c r="M712" s="18"/>
      <c r="N712"/>
      <c r="O712" s="13"/>
      <c r="P712" s="13"/>
      <c r="Q712" s="13"/>
      <c r="R712"/>
    </row>
    <row r="713" spans="1:18" ht="20.100000000000001" customHeight="1" x14ac:dyDescent="0.3">
      <c r="A713"/>
      <c r="B713"/>
      <c r="C713"/>
      <c r="D713"/>
      <c r="E713"/>
      <c r="F713"/>
      <c r="G713"/>
      <c r="H713"/>
      <c r="I713"/>
      <c r="J713"/>
      <c r="K713"/>
      <c r="L713"/>
      <c r="M713" s="18"/>
      <c r="N713"/>
      <c r="O713" s="13"/>
      <c r="P713" s="13"/>
      <c r="Q713" s="13"/>
      <c r="R713"/>
    </row>
    <row r="714" spans="1:18" ht="20.100000000000001" customHeight="1" x14ac:dyDescent="0.3">
      <c r="A714"/>
      <c r="B714"/>
      <c r="C714"/>
      <c r="D714"/>
      <c r="E714"/>
      <c r="F714"/>
      <c r="G714"/>
      <c r="H714"/>
      <c r="I714"/>
      <c r="J714"/>
      <c r="K714"/>
      <c r="L714"/>
      <c r="M714" s="18"/>
      <c r="N714"/>
      <c r="O714" s="13"/>
      <c r="P714" s="13"/>
      <c r="Q714" s="13"/>
      <c r="R714"/>
    </row>
    <row r="715" spans="1:18" ht="20.100000000000001" customHeight="1" x14ac:dyDescent="0.3">
      <c r="A715"/>
      <c r="B715"/>
      <c r="C715"/>
      <c r="D715"/>
      <c r="E715"/>
      <c r="F715"/>
      <c r="G715"/>
      <c r="H715"/>
      <c r="I715"/>
      <c r="J715"/>
      <c r="K715"/>
      <c r="L715"/>
      <c r="M715" s="18"/>
      <c r="N715"/>
      <c r="O715" s="13"/>
      <c r="P715" s="13"/>
      <c r="Q715" s="13"/>
      <c r="R715"/>
    </row>
    <row r="716" spans="1:18" ht="20.100000000000001" customHeight="1" x14ac:dyDescent="0.3">
      <c r="A716"/>
      <c r="B716"/>
      <c r="C716"/>
      <c r="D716"/>
      <c r="E716"/>
      <c r="F716"/>
      <c r="G716"/>
      <c r="H716"/>
      <c r="I716"/>
      <c r="J716"/>
      <c r="K716"/>
      <c r="L716"/>
      <c r="M716" s="18"/>
      <c r="N716"/>
      <c r="O716" s="13"/>
      <c r="P716" s="13"/>
      <c r="Q716" s="13"/>
      <c r="R716"/>
    </row>
    <row r="717" spans="1:18" ht="20.100000000000001" customHeight="1" x14ac:dyDescent="0.3">
      <c r="A717"/>
      <c r="B717"/>
      <c r="C717"/>
      <c r="D717"/>
      <c r="E717"/>
      <c r="F717"/>
      <c r="G717"/>
      <c r="H717"/>
      <c r="I717"/>
      <c r="J717"/>
      <c r="K717"/>
      <c r="L717"/>
      <c r="M717" s="18"/>
      <c r="N717"/>
      <c r="O717" s="13"/>
      <c r="P717" s="13"/>
      <c r="Q717" s="13"/>
      <c r="R717"/>
    </row>
    <row r="718" spans="1:18" ht="20.100000000000001" customHeight="1" x14ac:dyDescent="0.3">
      <c r="A718"/>
      <c r="B718"/>
      <c r="C718"/>
      <c r="D718"/>
      <c r="E718"/>
      <c r="F718"/>
      <c r="G718"/>
      <c r="H718"/>
      <c r="I718"/>
      <c r="J718"/>
      <c r="K718"/>
      <c r="L718"/>
      <c r="M718" s="18"/>
      <c r="N718"/>
      <c r="O718" s="13"/>
      <c r="P718" s="13"/>
      <c r="Q718" s="13"/>
      <c r="R718"/>
    </row>
    <row r="719" spans="1:18" ht="20.100000000000001" customHeight="1" x14ac:dyDescent="0.3">
      <c r="A719"/>
      <c r="B719"/>
      <c r="C719"/>
      <c r="D719"/>
      <c r="E719"/>
      <c r="F719"/>
      <c r="G719"/>
      <c r="H719"/>
      <c r="I719"/>
      <c r="J719"/>
      <c r="K719"/>
      <c r="L719"/>
      <c r="M719" s="18"/>
      <c r="N719"/>
      <c r="O719" s="13"/>
      <c r="P719" s="13"/>
      <c r="Q719" s="13"/>
      <c r="R719"/>
    </row>
    <row r="720" spans="1:18" ht="20.100000000000001" customHeight="1" x14ac:dyDescent="0.3">
      <c r="A720"/>
      <c r="B720"/>
      <c r="C720"/>
      <c r="D720"/>
      <c r="E720"/>
      <c r="F720"/>
      <c r="G720"/>
      <c r="H720"/>
      <c r="I720"/>
      <c r="J720"/>
      <c r="K720"/>
      <c r="L720"/>
      <c r="M720" s="18"/>
      <c r="N720"/>
      <c r="O720" s="13"/>
      <c r="P720" s="13"/>
      <c r="Q720" s="13"/>
      <c r="R720"/>
    </row>
    <row r="721" spans="1:18" ht="20.100000000000001" customHeight="1" x14ac:dyDescent="0.3">
      <c r="A721"/>
      <c r="B721"/>
      <c r="C721"/>
      <c r="D721"/>
      <c r="E721"/>
      <c r="F721"/>
      <c r="G721"/>
      <c r="H721"/>
      <c r="I721"/>
      <c r="J721"/>
      <c r="K721"/>
      <c r="L721"/>
      <c r="M721" s="18"/>
      <c r="N721"/>
      <c r="O721" s="13"/>
      <c r="P721" s="13"/>
      <c r="Q721" s="13"/>
      <c r="R721"/>
    </row>
    <row r="722" spans="1:18" ht="20.100000000000001" customHeight="1" x14ac:dyDescent="0.3">
      <c r="A722"/>
      <c r="B722"/>
      <c r="C722"/>
      <c r="D722"/>
      <c r="E722"/>
      <c r="F722"/>
      <c r="G722"/>
      <c r="H722"/>
      <c r="I722"/>
      <c r="J722"/>
      <c r="K722"/>
      <c r="L722"/>
      <c r="M722" s="18"/>
      <c r="N722"/>
      <c r="O722" s="13"/>
      <c r="P722" s="13"/>
      <c r="Q722" s="13"/>
      <c r="R722"/>
    </row>
    <row r="723" spans="1:18" ht="20.100000000000001" customHeight="1" x14ac:dyDescent="0.3">
      <c r="A723"/>
      <c r="B723"/>
      <c r="C723"/>
      <c r="D723"/>
      <c r="E723"/>
      <c r="F723"/>
      <c r="G723"/>
      <c r="H723"/>
      <c r="I723"/>
      <c r="J723"/>
      <c r="K723"/>
      <c r="L723"/>
      <c r="M723" s="18"/>
      <c r="N723"/>
      <c r="O723" s="13"/>
      <c r="P723" s="13"/>
      <c r="Q723" s="13"/>
      <c r="R723"/>
    </row>
    <row r="724" spans="1:18" ht="20.100000000000001" customHeight="1" x14ac:dyDescent="0.3">
      <c r="A724"/>
      <c r="B724"/>
      <c r="C724"/>
      <c r="D724"/>
      <c r="E724"/>
      <c r="F724"/>
      <c r="G724"/>
      <c r="H724"/>
      <c r="I724"/>
      <c r="J724"/>
      <c r="K724"/>
      <c r="L724"/>
      <c r="M724" s="18"/>
      <c r="N724"/>
      <c r="O724" s="13"/>
      <c r="P724" s="13"/>
      <c r="Q724" s="13"/>
      <c r="R724"/>
    </row>
    <row r="725" spans="1:18" ht="20.100000000000001" customHeight="1" x14ac:dyDescent="0.3">
      <c r="A725"/>
      <c r="B725"/>
      <c r="C725"/>
      <c r="D725"/>
      <c r="E725"/>
      <c r="F725"/>
      <c r="G725"/>
      <c r="H725"/>
      <c r="I725"/>
      <c r="J725"/>
      <c r="K725"/>
      <c r="L725"/>
      <c r="M725" s="18"/>
      <c r="N725"/>
      <c r="O725" s="13"/>
      <c r="P725" s="13"/>
      <c r="Q725" s="13"/>
      <c r="R725"/>
    </row>
    <row r="726" spans="1:18" ht="20.100000000000001" customHeight="1" x14ac:dyDescent="0.3">
      <c r="A726"/>
      <c r="B726"/>
      <c r="C726"/>
      <c r="D726"/>
      <c r="E726"/>
      <c r="F726"/>
      <c r="G726"/>
      <c r="H726"/>
      <c r="I726"/>
      <c r="J726"/>
      <c r="K726"/>
      <c r="L726"/>
      <c r="M726" s="18"/>
      <c r="N726"/>
      <c r="O726" s="13"/>
      <c r="P726" s="13"/>
      <c r="Q726" s="13"/>
      <c r="R726"/>
    </row>
    <row r="727" spans="1:18" ht="20.100000000000001" customHeight="1" x14ac:dyDescent="0.3">
      <c r="A727"/>
      <c r="B727"/>
      <c r="C727"/>
      <c r="D727"/>
      <c r="E727"/>
      <c r="F727"/>
      <c r="G727"/>
      <c r="H727"/>
      <c r="I727"/>
      <c r="J727"/>
      <c r="K727"/>
      <c r="L727"/>
      <c r="M727" s="18"/>
      <c r="N727"/>
      <c r="O727" s="13"/>
      <c r="P727" s="13"/>
      <c r="Q727" s="13"/>
      <c r="R727"/>
    </row>
    <row r="728" spans="1:18" ht="20.100000000000001" customHeight="1" x14ac:dyDescent="0.3">
      <c r="A728"/>
      <c r="B728"/>
      <c r="C728"/>
      <c r="D728"/>
      <c r="E728"/>
      <c r="F728"/>
      <c r="G728"/>
      <c r="H728"/>
      <c r="I728"/>
      <c r="J728"/>
      <c r="K728"/>
      <c r="L728"/>
      <c r="M728" s="18"/>
      <c r="N728"/>
      <c r="O728" s="13"/>
      <c r="P728" s="13"/>
      <c r="Q728" s="13"/>
      <c r="R728"/>
    </row>
    <row r="729" spans="1:18" ht="20.100000000000001" customHeight="1" x14ac:dyDescent="0.3">
      <c r="A729"/>
      <c r="B729"/>
      <c r="C729"/>
      <c r="D729"/>
      <c r="E729"/>
      <c r="F729"/>
      <c r="G729"/>
      <c r="H729"/>
      <c r="I729"/>
      <c r="J729"/>
      <c r="K729"/>
      <c r="L729"/>
      <c r="M729" s="18"/>
      <c r="N729"/>
      <c r="O729" s="13"/>
      <c r="P729" s="13"/>
      <c r="Q729" s="13"/>
      <c r="R729"/>
    </row>
    <row r="730" spans="1:18" ht="20.100000000000001" customHeight="1" x14ac:dyDescent="0.3">
      <c r="A730"/>
      <c r="B730"/>
      <c r="C730"/>
      <c r="D730"/>
      <c r="E730"/>
      <c r="F730"/>
      <c r="G730"/>
      <c r="H730"/>
      <c r="I730"/>
      <c r="J730"/>
      <c r="K730"/>
      <c r="L730"/>
      <c r="M730" s="18"/>
      <c r="N730"/>
      <c r="O730" s="13"/>
      <c r="P730" s="13"/>
      <c r="Q730" s="13"/>
      <c r="R730"/>
    </row>
    <row r="731" spans="1:18" ht="20.100000000000001" customHeight="1" x14ac:dyDescent="0.3">
      <c r="A731"/>
      <c r="B731"/>
      <c r="C731"/>
      <c r="D731"/>
      <c r="E731"/>
      <c r="F731"/>
      <c r="G731"/>
      <c r="H731"/>
      <c r="I731"/>
      <c r="J731"/>
      <c r="K731"/>
      <c r="L731"/>
      <c r="M731" s="18"/>
      <c r="N731"/>
      <c r="O731" s="13"/>
      <c r="P731" s="13"/>
      <c r="Q731" s="13"/>
      <c r="R731"/>
    </row>
    <row r="732" spans="1:18" ht="20.100000000000001" customHeight="1" x14ac:dyDescent="0.3">
      <c r="A732"/>
      <c r="B732"/>
      <c r="C732"/>
      <c r="D732"/>
      <c r="E732"/>
      <c r="F732"/>
      <c r="G732"/>
      <c r="H732"/>
      <c r="I732"/>
      <c r="J732"/>
      <c r="K732"/>
      <c r="L732"/>
      <c r="M732" s="18"/>
      <c r="N732"/>
      <c r="O732" s="13"/>
      <c r="P732" s="13"/>
      <c r="Q732" s="13"/>
      <c r="R732"/>
    </row>
    <row r="733" spans="1:18" ht="20.100000000000001" customHeight="1" x14ac:dyDescent="0.3">
      <c r="A733"/>
      <c r="B733"/>
      <c r="C733"/>
      <c r="D733"/>
      <c r="E733"/>
      <c r="F733"/>
      <c r="G733"/>
      <c r="H733"/>
      <c r="I733"/>
      <c r="J733"/>
      <c r="K733"/>
      <c r="L733"/>
      <c r="M733" s="18"/>
      <c r="N733"/>
      <c r="O733" s="13"/>
      <c r="P733" s="13"/>
      <c r="Q733" s="13"/>
      <c r="R733"/>
    </row>
    <row r="734" spans="1:18" ht="20.100000000000001" customHeight="1" x14ac:dyDescent="0.3">
      <c r="A734"/>
      <c r="B734"/>
      <c r="C734"/>
      <c r="D734"/>
      <c r="E734"/>
      <c r="F734"/>
      <c r="G734"/>
      <c r="H734"/>
      <c r="I734"/>
      <c r="J734"/>
      <c r="K734"/>
      <c r="L734"/>
      <c r="M734" s="18"/>
      <c r="N734"/>
      <c r="O734" s="13"/>
      <c r="P734" s="13"/>
      <c r="Q734" s="13"/>
      <c r="R734"/>
    </row>
    <row r="735" spans="1:18" ht="20.100000000000001" customHeight="1" x14ac:dyDescent="0.3">
      <c r="A735"/>
      <c r="B735"/>
      <c r="C735"/>
      <c r="D735"/>
      <c r="E735"/>
      <c r="F735"/>
      <c r="G735"/>
      <c r="H735"/>
      <c r="I735"/>
      <c r="J735"/>
      <c r="K735"/>
      <c r="L735"/>
      <c r="M735" s="18"/>
      <c r="N735"/>
      <c r="O735" s="13"/>
      <c r="P735" s="13"/>
      <c r="Q735" s="13"/>
      <c r="R735"/>
    </row>
    <row r="736" spans="1:18" ht="20.100000000000001" customHeight="1" x14ac:dyDescent="0.3">
      <c r="A736"/>
      <c r="B736"/>
      <c r="C736"/>
      <c r="D736"/>
      <c r="E736"/>
      <c r="F736"/>
      <c r="G736"/>
      <c r="H736"/>
      <c r="I736"/>
      <c r="J736"/>
      <c r="K736"/>
      <c r="L736"/>
      <c r="M736" s="18"/>
      <c r="N736"/>
      <c r="O736" s="13"/>
      <c r="P736" s="13"/>
      <c r="Q736" s="13"/>
      <c r="R736"/>
    </row>
    <row r="737" spans="1:18" ht="20.100000000000001" customHeight="1" x14ac:dyDescent="0.3">
      <c r="A737"/>
      <c r="B737"/>
      <c r="C737"/>
      <c r="D737"/>
      <c r="E737"/>
      <c r="F737"/>
      <c r="G737"/>
      <c r="H737"/>
      <c r="I737"/>
      <c r="J737"/>
      <c r="K737"/>
      <c r="L737"/>
      <c r="M737" s="18"/>
      <c r="N737"/>
      <c r="O737" s="13"/>
      <c r="P737" s="13"/>
      <c r="Q737" s="13"/>
      <c r="R737"/>
    </row>
    <row r="738" spans="1:18" ht="20.100000000000001" customHeight="1" x14ac:dyDescent="0.3">
      <c r="A738"/>
      <c r="B738"/>
      <c r="C738"/>
      <c r="D738"/>
      <c r="E738"/>
      <c r="F738"/>
      <c r="G738"/>
      <c r="H738"/>
      <c r="I738"/>
      <c r="J738"/>
      <c r="K738"/>
      <c r="L738"/>
      <c r="M738" s="18"/>
      <c r="N738"/>
      <c r="O738" s="13"/>
      <c r="P738" s="13"/>
      <c r="Q738" s="13"/>
      <c r="R738"/>
    </row>
    <row r="739" spans="1:18" ht="20.100000000000001" customHeight="1" x14ac:dyDescent="0.3">
      <c r="A739"/>
      <c r="B739"/>
      <c r="C739"/>
      <c r="D739"/>
      <c r="E739"/>
      <c r="F739"/>
      <c r="G739"/>
      <c r="H739"/>
      <c r="I739"/>
      <c r="J739"/>
      <c r="K739"/>
      <c r="L739"/>
      <c r="M739" s="18"/>
      <c r="N739"/>
      <c r="O739" s="13"/>
      <c r="P739" s="13"/>
      <c r="Q739" s="13"/>
      <c r="R739"/>
    </row>
    <row r="740" spans="1:18" ht="20.100000000000001" customHeight="1" x14ac:dyDescent="0.3">
      <c r="A740"/>
      <c r="B740"/>
      <c r="C740"/>
      <c r="D740"/>
      <c r="E740"/>
      <c r="F740"/>
      <c r="G740"/>
      <c r="H740"/>
      <c r="I740"/>
      <c r="J740"/>
      <c r="K740"/>
      <c r="L740"/>
      <c r="M740" s="18"/>
      <c r="N740"/>
      <c r="O740" s="13"/>
      <c r="P740" s="13"/>
      <c r="Q740" s="13"/>
      <c r="R740"/>
    </row>
    <row r="741" spans="1:18" ht="20.100000000000001" customHeight="1" x14ac:dyDescent="0.3">
      <c r="A741"/>
      <c r="B741"/>
      <c r="C741"/>
      <c r="D741"/>
      <c r="E741"/>
      <c r="F741"/>
      <c r="G741"/>
      <c r="H741"/>
      <c r="I741"/>
      <c r="J741"/>
      <c r="K741"/>
      <c r="L741"/>
      <c r="M741" s="18"/>
      <c r="N741"/>
      <c r="O741" s="13"/>
      <c r="P741" s="13"/>
      <c r="Q741" s="13"/>
      <c r="R741"/>
    </row>
    <row r="742" spans="1:18" ht="20.100000000000001" customHeight="1" x14ac:dyDescent="0.3">
      <c r="A742"/>
      <c r="B742"/>
      <c r="C742"/>
      <c r="D742"/>
      <c r="E742"/>
      <c r="F742"/>
      <c r="G742"/>
      <c r="H742"/>
      <c r="I742"/>
      <c r="J742"/>
      <c r="K742"/>
      <c r="L742"/>
      <c r="M742" s="18"/>
      <c r="N742"/>
      <c r="O742" s="13"/>
      <c r="P742" s="13"/>
      <c r="Q742" s="13"/>
      <c r="R742"/>
    </row>
    <row r="743" spans="1:18" ht="20.100000000000001" customHeight="1" x14ac:dyDescent="0.3">
      <c r="A743"/>
      <c r="B743"/>
      <c r="C743"/>
      <c r="D743"/>
      <c r="E743"/>
      <c r="F743"/>
      <c r="G743"/>
      <c r="H743"/>
      <c r="I743"/>
      <c r="J743"/>
      <c r="K743"/>
      <c r="L743"/>
      <c r="M743" s="18"/>
      <c r="N743"/>
      <c r="O743" s="13"/>
      <c r="P743" s="13"/>
      <c r="Q743" s="13"/>
      <c r="R743"/>
    </row>
    <row r="744" spans="1:18" ht="20.100000000000001" customHeight="1" x14ac:dyDescent="0.3">
      <c r="A744"/>
      <c r="B744"/>
      <c r="C744"/>
      <c r="D744"/>
      <c r="E744"/>
      <c r="F744"/>
      <c r="G744"/>
      <c r="H744"/>
      <c r="I744"/>
      <c r="J744"/>
      <c r="K744"/>
      <c r="L744"/>
      <c r="M744" s="18"/>
      <c r="N744"/>
      <c r="O744" s="13"/>
      <c r="P744" s="13"/>
      <c r="Q744" s="13"/>
      <c r="R744"/>
    </row>
    <row r="745" spans="1:18" ht="20.100000000000001" customHeight="1" x14ac:dyDescent="0.3">
      <c r="A745"/>
      <c r="B745"/>
      <c r="C745"/>
      <c r="D745"/>
      <c r="E745"/>
      <c r="F745"/>
      <c r="G745"/>
      <c r="H745"/>
      <c r="I745"/>
      <c r="J745"/>
      <c r="K745"/>
      <c r="L745"/>
      <c r="M745" s="18"/>
      <c r="N745"/>
      <c r="O745" s="13"/>
      <c r="P745" s="13"/>
      <c r="Q745" s="13"/>
      <c r="R745"/>
    </row>
    <row r="746" spans="1:18" ht="20.100000000000001" customHeight="1" x14ac:dyDescent="0.3">
      <c r="A746"/>
      <c r="B746"/>
      <c r="C746"/>
      <c r="D746"/>
      <c r="E746"/>
      <c r="F746"/>
      <c r="G746"/>
      <c r="H746"/>
      <c r="I746"/>
      <c r="J746"/>
      <c r="K746"/>
      <c r="L746"/>
      <c r="M746" s="18"/>
      <c r="N746"/>
      <c r="O746" s="13"/>
      <c r="P746" s="13"/>
      <c r="Q746" s="13"/>
      <c r="R746"/>
    </row>
    <row r="747" spans="1:18" ht="20.100000000000001" customHeight="1" x14ac:dyDescent="0.3">
      <c r="A747"/>
      <c r="B747"/>
      <c r="C747"/>
      <c r="D747"/>
      <c r="E747"/>
      <c r="F747"/>
      <c r="G747"/>
      <c r="H747"/>
      <c r="I747"/>
      <c r="J747"/>
      <c r="K747"/>
      <c r="L747"/>
      <c r="M747" s="18"/>
      <c r="N747"/>
      <c r="O747" s="13"/>
      <c r="P747" s="13"/>
      <c r="Q747" s="13"/>
      <c r="R747"/>
    </row>
    <row r="748" spans="1:18" ht="20.100000000000001" customHeight="1" x14ac:dyDescent="0.3">
      <c r="A748"/>
      <c r="B748"/>
      <c r="C748"/>
      <c r="D748"/>
      <c r="E748"/>
      <c r="F748"/>
      <c r="G748"/>
      <c r="H748"/>
      <c r="I748"/>
      <c r="J748"/>
      <c r="K748"/>
      <c r="L748"/>
      <c r="M748" s="18"/>
      <c r="N748"/>
      <c r="O748" s="13"/>
      <c r="P748" s="13"/>
      <c r="Q748" s="13"/>
      <c r="R748"/>
    </row>
    <row r="749" spans="1:18" ht="20.100000000000001" customHeight="1" x14ac:dyDescent="0.3">
      <c r="A749"/>
      <c r="B749"/>
      <c r="C749"/>
      <c r="D749"/>
      <c r="E749"/>
      <c r="F749"/>
      <c r="G749"/>
      <c r="H749"/>
      <c r="I749"/>
      <c r="J749"/>
      <c r="K749"/>
      <c r="L749"/>
      <c r="M749" s="18"/>
      <c r="N749"/>
      <c r="O749" s="13"/>
      <c r="P749" s="13"/>
      <c r="Q749" s="13"/>
      <c r="R749"/>
    </row>
    <row r="750" spans="1:18" ht="20.100000000000001" customHeight="1" x14ac:dyDescent="0.3">
      <c r="A750"/>
      <c r="B750"/>
      <c r="C750"/>
      <c r="D750"/>
      <c r="E750"/>
      <c r="F750"/>
      <c r="G750"/>
      <c r="H750"/>
      <c r="I750"/>
      <c r="J750"/>
      <c r="K750"/>
      <c r="L750"/>
      <c r="M750" s="18"/>
      <c r="N750"/>
      <c r="O750" s="13"/>
      <c r="P750" s="13"/>
      <c r="Q750" s="13"/>
      <c r="R750"/>
    </row>
    <row r="751" spans="1:18" ht="20.100000000000001" customHeight="1" x14ac:dyDescent="0.3">
      <c r="A751"/>
      <c r="B751"/>
      <c r="C751"/>
      <c r="D751"/>
      <c r="E751"/>
      <c r="F751"/>
      <c r="G751"/>
      <c r="H751"/>
      <c r="I751"/>
      <c r="J751"/>
      <c r="K751"/>
      <c r="L751"/>
      <c r="M751" s="18"/>
      <c r="N751"/>
      <c r="O751" s="13"/>
      <c r="P751" s="13"/>
      <c r="Q751" s="13"/>
      <c r="R751"/>
    </row>
    <row r="752" spans="1:18" ht="20.100000000000001" customHeight="1" x14ac:dyDescent="0.3">
      <c r="A752"/>
      <c r="B752"/>
      <c r="C752"/>
      <c r="D752"/>
      <c r="E752"/>
      <c r="F752"/>
      <c r="G752"/>
      <c r="H752"/>
      <c r="I752"/>
      <c r="J752"/>
      <c r="K752"/>
      <c r="L752"/>
      <c r="M752" s="18"/>
      <c r="N752"/>
      <c r="O752" s="13"/>
      <c r="P752" s="13"/>
      <c r="Q752" s="13"/>
      <c r="R752"/>
    </row>
    <row r="753" spans="1:18" ht="20.100000000000001" customHeight="1" x14ac:dyDescent="0.3">
      <c r="A753"/>
      <c r="B753"/>
      <c r="C753"/>
      <c r="D753"/>
      <c r="E753"/>
      <c r="F753"/>
      <c r="G753"/>
      <c r="H753"/>
      <c r="I753"/>
      <c r="J753"/>
      <c r="K753"/>
      <c r="L753"/>
      <c r="M753" s="18"/>
      <c r="N753"/>
      <c r="O753" s="13"/>
      <c r="P753" s="13"/>
      <c r="Q753" s="13"/>
      <c r="R753"/>
    </row>
    <row r="754" spans="1:18" ht="20.100000000000001" customHeight="1" x14ac:dyDescent="0.3">
      <c r="A754"/>
      <c r="B754"/>
      <c r="C754"/>
      <c r="D754"/>
      <c r="E754"/>
      <c r="F754"/>
      <c r="G754"/>
      <c r="H754"/>
      <c r="I754"/>
      <c r="J754"/>
      <c r="K754"/>
      <c r="L754"/>
      <c r="M754" s="18"/>
      <c r="N754"/>
      <c r="O754" s="13"/>
      <c r="P754" s="13"/>
      <c r="Q754" s="13"/>
      <c r="R754"/>
    </row>
    <row r="755" spans="1:18" ht="20.100000000000001" customHeight="1" x14ac:dyDescent="0.3">
      <c r="A755"/>
      <c r="B755"/>
      <c r="C755"/>
      <c r="D755"/>
      <c r="E755"/>
      <c r="F755"/>
      <c r="G755"/>
      <c r="H755"/>
      <c r="I755"/>
      <c r="J755"/>
      <c r="K755"/>
      <c r="L755"/>
      <c r="M755" s="18"/>
      <c r="N755"/>
      <c r="O755" s="13"/>
      <c r="P755" s="13"/>
      <c r="Q755" s="13"/>
      <c r="R755"/>
    </row>
    <row r="756" spans="1:18" ht="20.100000000000001" customHeight="1" x14ac:dyDescent="0.3">
      <c r="A756"/>
      <c r="B756"/>
      <c r="C756"/>
      <c r="D756"/>
      <c r="E756"/>
      <c r="F756"/>
      <c r="G756"/>
      <c r="H756"/>
      <c r="I756"/>
      <c r="J756"/>
      <c r="K756"/>
      <c r="L756"/>
      <c r="M756" s="18"/>
      <c r="N756"/>
      <c r="O756" s="13"/>
      <c r="P756" s="13"/>
      <c r="Q756" s="13"/>
      <c r="R756"/>
    </row>
    <row r="757" spans="1:18" ht="20.100000000000001" customHeight="1" x14ac:dyDescent="0.3">
      <c r="A757"/>
      <c r="B757"/>
      <c r="C757"/>
      <c r="D757"/>
      <c r="E757"/>
      <c r="F757"/>
      <c r="G757"/>
      <c r="H757"/>
      <c r="I757"/>
      <c r="J757"/>
      <c r="K757"/>
      <c r="L757"/>
      <c r="M757" s="18"/>
      <c r="N757"/>
      <c r="O757" s="13"/>
      <c r="P757" s="13"/>
      <c r="Q757" s="13"/>
      <c r="R757"/>
    </row>
    <row r="758" spans="1:18" ht="20.100000000000001" customHeight="1" x14ac:dyDescent="0.3">
      <c r="A758"/>
      <c r="B758"/>
      <c r="C758"/>
      <c r="D758"/>
      <c r="E758"/>
      <c r="F758"/>
      <c r="G758"/>
      <c r="H758"/>
      <c r="I758"/>
      <c r="J758"/>
      <c r="K758"/>
      <c r="L758"/>
      <c r="M758" s="18"/>
      <c r="N758"/>
      <c r="O758" s="13"/>
      <c r="P758" s="13"/>
      <c r="Q758" s="13"/>
      <c r="R758"/>
    </row>
    <row r="759" spans="1:18" ht="20.100000000000001" customHeight="1" x14ac:dyDescent="0.3">
      <c r="A759"/>
      <c r="B759"/>
      <c r="C759"/>
      <c r="D759"/>
      <c r="E759"/>
      <c r="F759"/>
      <c r="G759"/>
      <c r="H759"/>
      <c r="I759"/>
      <c r="J759"/>
      <c r="K759"/>
      <c r="L759"/>
      <c r="M759" s="18"/>
      <c r="N759"/>
      <c r="O759" s="13"/>
      <c r="P759" s="13"/>
      <c r="Q759" s="13"/>
      <c r="R759"/>
    </row>
    <row r="760" spans="1:18" ht="20.100000000000001" customHeight="1" x14ac:dyDescent="0.3">
      <c r="A760"/>
      <c r="B760"/>
      <c r="C760"/>
      <c r="D760"/>
      <c r="E760"/>
      <c r="F760"/>
      <c r="G760"/>
      <c r="H760"/>
      <c r="I760"/>
      <c r="J760"/>
      <c r="K760"/>
      <c r="L760"/>
      <c r="M760" s="18"/>
      <c r="N760"/>
      <c r="O760" s="13"/>
      <c r="P760" s="13"/>
      <c r="Q760" s="13"/>
      <c r="R760"/>
    </row>
    <row r="761" spans="1:18" ht="20.100000000000001" customHeight="1" x14ac:dyDescent="0.3">
      <c r="A761"/>
      <c r="B761"/>
      <c r="C761"/>
      <c r="D761"/>
      <c r="E761"/>
      <c r="F761"/>
      <c r="G761"/>
      <c r="H761"/>
      <c r="I761"/>
      <c r="J761"/>
      <c r="K761"/>
      <c r="L761"/>
      <c r="M761" s="18"/>
      <c r="N761"/>
      <c r="O761" s="13"/>
      <c r="P761" s="13"/>
      <c r="Q761" s="13"/>
      <c r="R761"/>
    </row>
    <row r="762" spans="1:18" ht="20.100000000000001" customHeight="1" x14ac:dyDescent="0.3">
      <c r="A762"/>
      <c r="B762"/>
      <c r="C762"/>
      <c r="D762"/>
      <c r="E762"/>
      <c r="F762"/>
      <c r="G762"/>
      <c r="H762"/>
      <c r="I762"/>
      <c r="J762"/>
      <c r="K762"/>
      <c r="L762"/>
      <c r="M762" s="18"/>
      <c r="N762"/>
      <c r="O762" s="13"/>
      <c r="P762" s="13"/>
      <c r="Q762" s="13"/>
      <c r="R762"/>
    </row>
    <row r="763" spans="1:18" ht="20.100000000000001" customHeight="1" x14ac:dyDescent="0.3">
      <c r="A763"/>
      <c r="B763"/>
      <c r="C763"/>
      <c r="D763"/>
      <c r="E763"/>
      <c r="F763"/>
      <c r="G763"/>
      <c r="H763"/>
      <c r="I763"/>
      <c r="J763"/>
      <c r="K763"/>
      <c r="L763"/>
      <c r="M763" s="18"/>
      <c r="N763"/>
      <c r="O763" s="13"/>
      <c r="P763" s="13"/>
      <c r="Q763" s="13"/>
      <c r="R763"/>
    </row>
    <row r="764" spans="1:18" ht="20.100000000000001" customHeight="1" x14ac:dyDescent="0.3">
      <c r="A764"/>
      <c r="B764"/>
      <c r="C764"/>
      <c r="D764"/>
      <c r="E764"/>
      <c r="F764"/>
      <c r="G764"/>
      <c r="H764"/>
      <c r="I764"/>
      <c r="J764"/>
      <c r="K764"/>
      <c r="L764"/>
      <c r="M764" s="18"/>
      <c r="N764"/>
      <c r="O764" s="13"/>
      <c r="P764" s="13"/>
      <c r="Q764" s="13"/>
      <c r="R764"/>
    </row>
    <row r="765" spans="1:18" ht="20.100000000000001" customHeight="1" x14ac:dyDescent="0.3">
      <c r="A765"/>
      <c r="B765"/>
      <c r="C765"/>
      <c r="D765"/>
      <c r="E765"/>
      <c r="F765"/>
      <c r="G765"/>
      <c r="H765"/>
      <c r="I765"/>
      <c r="J765"/>
      <c r="K765"/>
      <c r="L765"/>
      <c r="M765" s="18"/>
      <c r="N765"/>
      <c r="O765" s="13"/>
      <c r="P765" s="13"/>
      <c r="Q765" s="13"/>
      <c r="R765"/>
    </row>
    <row r="766" spans="1:18" ht="20.100000000000001" customHeight="1" x14ac:dyDescent="0.3">
      <c r="A766"/>
      <c r="B766"/>
      <c r="C766"/>
      <c r="D766"/>
      <c r="E766"/>
      <c r="F766"/>
      <c r="G766"/>
      <c r="H766"/>
      <c r="I766"/>
      <c r="J766"/>
      <c r="K766"/>
      <c r="L766"/>
      <c r="M766" s="18"/>
      <c r="N766"/>
      <c r="O766" s="13"/>
      <c r="P766" s="13"/>
      <c r="Q766" s="13"/>
      <c r="R766"/>
    </row>
    <row r="767" spans="1:18" ht="20.100000000000001" customHeight="1" x14ac:dyDescent="0.3">
      <c r="A767"/>
      <c r="B767"/>
      <c r="C767"/>
      <c r="D767"/>
      <c r="E767"/>
      <c r="F767"/>
      <c r="G767"/>
      <c r="H767"/>
      <c r="I767"/>
      <c r="J767"/>
      <c r="K767"/>
      <c r="L767"/>
      <c r="M767" s="18"/>
      <c r="N767"/>
      <c r="O767" s="13"/>
      <c r="P767" s="13"/>
      <c r="Q767" s="13"/>
      <c r="R767"/>
    </row>
    <row r="768" spans="1:18" ht="20.100000000000001" customHeight="1" x14ac:dyDescent="0.3">
      <c r="A768"/>
      <c r="B768"/>
      <c r="C768"/>
      <c r="D768"/>
      <c r="E768"/>
      <c r="F768"/>
      <c r="G768"/>
      <c r="H768"/>
      <c r="I768"/>
      <c r="J768"/>
      <c r="K768"/>
      <c r="L768"/>
      <c r="M768" s="18"/>
      <c r="N768"/>
      <c r="O768" s="13"/>
      <c r="P768" s="13"/>
      <c r="Q768" s="13"/>
      <c r="R768"/>
    </row>
    <row r="769" spans="1:18" ht="20.100000000000001" customHeight="1" x14ac:dyDescent="0.3">
      <c r="A769"/>
      <c r="B769"/>
      <c r="C769"/>
      <c r="D769"/>
      <c r="E769"/>
      <c r="F769"/>
      <c r="G769"/>
      <c r="H769"/>
      <c r="I769"/>
      <c r="J769"/>
      <c r="K769"/>
      <c r="L769"/>
      <c r="M769" s="18"/>
      <c r="N769"/>
      <c r="O769" s="13"/>
      <c r="P769" s="13"/>
      <c r="Q769" s="13"/>
      <c r="R769"/>
    </row>
    <row r="770" spans="1:18" ht="20.100000000000001" customHeight="1" x14ac:dyDescent="0.3">
      <c r="A770"/>
      <c r="B770"/>
      <c r="C770"/>
      <c r="D770"/>
      <c r="E770"/>
      <c r="F770"/>
      <c r="G770"/>
      <c r="H770"/>
      <c r="I770"/>
      <c r="J770"/>
      <c r="K770"/>
      <c r="L770"/>
      <c r="M770" s="18"/>
      <c r="N770"/>
      <c r="O770" s="13"/>
      <c r="P770" s="13"/>
      <c r="Q770" s="13"/>
      <c r="R770"/>
    </row>
    <row r="771" spans="1:18" ht="20.100000000000001" customHeight="1" x14ac:dyDescent="0.3">
      <c r="A771"/>
      <c r="B771"/>
      <c r="C771"/>
      <c r="D771"/>
      <c r="E771"/>
      <c r="F771"/>
      <c r="G771"/>
      <c r="H771"/>
      <c r="I771"/>
      <c r="J771"/>
      <c r="K771"/>
      <c r="L771"/>
      <c r="M771" s="18"/>
      <c r="N771"/>
      <c r="O771" s="13"/>
      <c r="P771" s="13"/>
      <c r="Q771" s="13"/>
      <c r="R771"/>
    </row>
    <row r="772" spans="1:18" ht="20.100000000000001" customHeight="1" x14ac:dyDescent="0.3">
      <c r="A772"/>
      <c r="B772"/>
      <c r="C772"/>
      <c r="D772"/>
      <c r="E772"/>
      <c r="F772"/>
      <c r="G772"/>
      <c r="H772"/>
      <c r="I772"/>
      <c r="J772"/>
      <c r="K772"/>
      <c r="L772"/>
      <c r="M772" s="18"/>
      <c r="N772"/>
      <c r="O772" s="13"/>
      <c r="P772" s="13"/>
      <c r="Q772" s="13"/>
      <c r="R772"/>
    </row>
    <row r="773" spans="1:18" ht="20.100000000000001" customHeight="1" x14ac:dyDescent="0.3">
      <c r="A773"/>
      <c r="B773"/>
      <c r="C773"/>
      <c r="D773"/>
      <c r="E773"/>
      <c r="F773"/>
      <c r="G773"/>
      <c r="H773"/>
      <c r="I773"/>
      <c r="J773"/>
      <c r="K773"/>
      <c r="L773"/>
      <c r="M773" s="18"/>
      <c r="N773"/>
      <c r="O773" s="13"/>
      <c r="P773" s="13"/>
      <c r="Q773" s="13"/>
      <c r="R773"/>
    </row>
    <row r="774" spans="1:18" ht="20.100000000000001" customHeight="1" x14ac:dyDescent="0.3">
      <c r="A774"/>
      <c r="B774"/>
      <c r="C774"/>
      <c r="D774"/>
      <c r="E774"/>
      <c r="F774"/>
      <c r="G774"/>
      <c r="H774"/>
      <c r="I774"/>
      <c r="J774"/>
      <c r="K774"/>
      <c r="L774"/>
      <c r="M774" s="18"/>
      <c r="N774"/>
      <c r="O774" s="13"/>
      <c r="P774" s="13"/>
      <c r="Q774" s="13"/>
      <c r="R774"/>
    </row>
    <row r="775" spans="1:18" ht="20.100000000000001" customHeight="1" x14ac:dyDescent="0.3">
      <c r="A775"/>
      <c r="B775"/>
      <c r="C775"/>
      <c r="D775"/>
      <c r="E775"/>
      <c r="F775"/>
      <c r="G775"/>
      <c r="H775"/>
      <c r="I775"/>
      <c r="J775"/>
      <c r="K775"/>
      <c r="L775"/>
      <c r="M775" s="18"/>
      <c r="N775"/>
      <c r="O775" s="13"/>
      <c r="P775" s="13"/>
      <c r="Q775" s="13"/>
      <c r="R775"/>
    </row>
    <row r="776" spans="1:18" ht="20.100000000000001" customHeight="1" x14ac:dyDescent="0.3">
      <c r="A776"/>
      <c r="B776"/>
      <c r="C776"/>
      <c r="D776"/>
      <c r="E776"/>
      <c r="F776"/>
      <c r="G776"/>
      <c r="H776"/>
      <c r="I776"/>
      <c r="J776"/>
      <c r="K776"/>
      <c r="L776"/>
      <c r="M776" s="18"/>
      <c r="N776"/>
      <c r="O776" s="13"/>
      <c r="P776" s="13"/>
      <c r="Q776" s="13"/>
      <c r="R776"/>
    </row>
    <row r="777" spans="1:18" ht="20.100000000000001" customHeight="1" x14ac:dyDescent="0.3">
      <c r="A777"/>
      <c r="B777"/>
      <c r="C777"/>
      <c r="D777"/>
      <c r="E777"/>
      <c r="F777"/>
      <c r="G777"/>
      <c r="H777"/>
      <c r="I777"/>
      <c r="J777"/>
      <c r="K777"/>
      <c r="L777"/>
      <c r="M777" s="18"/>
      <c r="N777"/>
      <c r="O777" s="13"/>
      <c r="P777" s="13"/>
      <c r="Q777" s="13"/>
      <c r="R777"/>
    </row>
    <row r="778" spans="1:18" ht="20.100000000000001" customHeight="1" x14ac:dyDescent="0.3">
      <c r="A778"/>
      <c r="B778"/>
      <c r="C778"/>
      <c r="D778"/>
      <c r="E778"/>
      <c r="F778"/>
      <c r="G778"/>
      <c r="H778"/>
      <c r="I778"/>
      <c r="J778"/>
      <c r="K778"/>
      <c r="L778"/>
      <c r="M778" s="18"/>
      <c r="N778"/>
      <c r="O778" s="13"/>
      <c r="P778" s="13"/>
      <c r="Q778" s="13"/>
      <c r="R778"/>
    </row>
    <row r="779" spans="1:18" ht="20.100000000000001" customHeight="1" x14ac:dyDescent="0.3">
      <c r="A779"/>
      <c r="B779"/>
      <c r="C779"/>
      <c r="D779"/>
      <c r="E779"/>
      <c r="F779"/>
      <c r="G779"/>
      <c r="H779"/>
      <c r="I779"/>
      <c r="J779"/>
      <c r="K779"/>
      <c r="L779"/>
      <c r="M779" s="18"/>
      <c r="N779"/>
      <c r="O779" s="13"/>
      <c r="P779" s="13"/>
      <c r="Q779" s="13"/>
      <c r="R779"/>
    </row>
    <row r="780" spans="1:18" ht="20.100000000000001" customHeight="1" x14ac:dyDescent="0.3">
      <c r="A780"/>
      <c r="B780"/>
      <c r="C780"/>
      <c r="D780"/>
      <c r="E780"/>
      <c r="F780"/>
      <c r="G780"/>
      <c r="H780"/>
      <c r="I780"/>
      <c r="J780"/>
      <c r="K780"/>
      <c r="L780"/>
      <c r="M780" s="18"/>
      <c r="N780"/>
      <c r="O780" s="13"/>
      <c r="P780" s="13"/>
      <c r="Q780" s="13"/>
      <c r="R780"/>
    </row>
    <row r="781" spans="1:18" ht="20.100000000000001" customHeight="1" x14ac:dyDescent="0.3">
      <c r="A781"/>
      <c r="B781"/>
      <c r="C781"/>
      <c r="D781"/>
      <c r="E781"/>
      <c r="F781"/>
      <c r="G781"/>
      <c r="H781"/>
      <c r="I781"/>
      <c r="J781"/>
      <c r="K781"/>
      <c r="L781"/>
      <c r="M781" s="18"/>
      <c r="N781"/>
      <c r="O781" s="13"/>
      <c r="P781" s="13"/>
      <c r="Q781" s="13"/>
      <c r="R781"/>
    </row>
    <row r="782" spans="1:18" ht="20.100000000000001" customHeight="1" x14ac:dyDescent="0.3">
      <c r="A782"/>
      <c r="B782"/>
      <c r="C782"/>
      <c r="D782"/>
      <c r="E782"/>
      <c r="F782"/>
      <c r="G782"/>
      <c r="H782"/>
      <c r="I782"/>
      <c r="J782"/>
      <c r="K782"/>
      <c r="L782"/>
      <c r="M782" s="18"/>
      <c r="N782"/>
      <c r="O782" s="13"/>
      <c r="P782" s="13"/>
      <c r="Q782" s="13"/>
      <c r="R782"/>
    </row>
    <row r="783" spans="1:18" ht="20.100000000000001" customHeight="1" x14ac:dyDescent="0.3">
      <c r="A783"/>
      <c r="B783"/>
      <c r="C783"/>
      <c r="D783"/>
      <c r="E783"/>
      <c r="F783"/>
      <c r="G783"/>
      <c r="H783"/>
      <c r="I783"/>
      <c r="J783"/>
      <c r="K783"/>
      <c r="L783"/>
      <c r="M783" s="18"/>
      <c r="N783"/>
      <c r="O783" s="13"/>
      <c r="P783" s="13"/>
      <c r="Q783" s="13"/>
      <c r="R783"/>
    </row>
    <row r="784" spans="1:18" ht="20.100000000000001" customHeight="1" x14ac:dyDescent="0.3">
      <c r="A784"/>
      <c r="B784"/>
      <c r="C784"/>
      <c r="D784"/>
      <c r="E784"/>
      <c r="F784"/>
      <c r="G784"/>
      <c r="H784"/>
      <c r="I784"/>
      <c r="J784"/>
      <c r="K784"/>
      <c r="L784"/>
      <c r="M784" s="18"/>
      <c r="N784"/>
      <c r="O784" s="13"/>
      <c r="P784" s="13"/>
      <c r="Q784" s="13"/>
      <c r="R784"/>
    </row>
    <row r="785" spans="1:18" ht="20.100000000000001" customHeight="1" x14ac:dyDescent="0.3">
      <c r="A785"/>
      <c r="B785"/>
      <c r="C785"/>
      <c r="D785"/>
      <c r="E785"/>
      <c r="F785"/>
      <c r="G785"/>
      <c r="H785"/>
      <c r="I785"/>
      <c r="J785"/>
      <c r="K785"/>
      <c r="L785"/>
      <c r="M785" s="18"/>
      <c r="N785"/>
      <c r="O785" s="13"/>
      <c r="P785" s="13"/>
      <c r="Q785" s="13"/>
      <c r="R785"/>
    </row>
    <row r="786" spans="1:18" ht="20.100000000000001" customHeight="1" x14ac:dyDescent="0.3">
      <c r="A786"/>
      <c r="B786"/>
      <c r="C786"/>
      <c r="D786"/>
      <c r="E786"/>
      <c r="F786"/>
      <c r="G786"/>
      <c r="H786"/>
      <c r="I786"/>
      <c r="J786"/>
      <c r="K786"/>
      <c r="L786"/>
      <c r="M786" s="18"/>
      <c r="N786"/>
      <c r="O786" s="13"/>
      <c r="P786" s="13"/>
      <c r="Q786" s="13"/>
      <c r="R786"/>
    </row>
    <row r="787" spans="1:18" ht="20.100000000000001" customHeight="1" x14ac:dyDescent="0.3">
      <c r="A787"/>
      <c r="B787"/>
      <c r="C787"/>
      <c r="D787"/>
      <c r="E787"/>
      <c r="F787"/>
      <c r="G787"/>
      <c r="H787"/>
      <c r="I787"/>
      <c r="J787"/>
      <c r="K787"/>
      <c r="L787"/>
      <c r="M787" s="18"/>
      <c r="N787"/>
      <c r="O787" s="13"/>
      <c r="P787" s="13"/>
      <c r="Q787" s="13"/>
      <c r="R787"/>
    </row>
    <row r="788" spans="1:18" ht="20.100000000000001" customHeight="1" x14ac:dyDescent="0.3">
      <c r="A788"/>
      <c r="B788"/>
      <c r="C788"/>
      <c r="D788"/>
      <c r="E788"/>
      <c r="F788"/>
      <c r="G788"/>
      <c r="H788"/>
      <c r="I788"/>
      <c r="J788"/>
      <c r="K788"/>
      <c r="L788"/>
      <c r="M788" s="18"/>
      <c r="N788"/>
      <c r="O788" s="13"/>
      <c r="P788" s="13"/>
      <c r="Q788" s="13"/>
      <c r="R788"/>
    </row>
    <row r="789" spans="1:18" ht="20.100000000000001" customHeight="1" x14ac:dyDescent="0.3">
      <c r="A789"/>
      <c r="B789"/>
      <c r="C789"/>
      <c r="D789"/>
      <c r="E789"/>
      <c r="F789"/>
      <c r="G789"/>
      <c r="H789"/>
      <c r="I789"/>
      <c r="J789"/>
      <c r="K789"/>
      <c r="L789"/>
      <c r="M789" s="18"/>
      <c r="N789"/>
      <c r="O789" s="13"/>
      <c r="P789" s="13"/>
      <c r="Q789" s="13"/>
      <c r="R789"/>
    </row>
    <row r="790" spans="1:18" ht="20.100000000000001" customHeight="1" x14ac:dyDescent="0.3">
      <c r="A790"/>
      <c r="B790"/>
      <c r="C790"/>
      <c r="D790"/>
      <c r="E790"/>
      <c r="F790"/>
      <c r="G790"/>
      <c r="H790"/>
      <c r="I790"/>
      <c r="J790"/>
      <c r="K790"/>
      <c r="L790"/>
      <c r="M790" s="18"/>
      <c r="N790"/>
      <c r="O790" s="13"/>
      <c r="P790" s="13"/>
      <c r="Q790" s="13"/>
      <c r="R790"/>
    </row>
    <row r="791" spans="1:18" ht="20.100000000000001" customHeight="1" x14ac:dyDescent="0.3">
      <c r="A791"/>
      <c r="B791"/>
      <c r="C791"/>
      <c r="D791"/>
      <c r="E791"/>
      <c r="F791"/>
      <c r="G791"/>
      <c r="H791"/>
      <c r="I791"/>
      <c r="J791"/>
      <c r="K791"/>
      <c r="L791"/>
      <c r="M791" s="18"/>
      <c r="N791"/>
      <c r="O791" s="13"/>
      <c r="P791" s="13"/>
      <c r="Q791" s="13"/>
      <c r="R791"/>
    </row>
    <row r="792" spans="1:18" ht="20.100000000000001" customHeight="1" x14ac:dyDescent="0.3">
      <c r="A792"/>
      <c r="B792"/>
      <c r="C792"/>
      <c r="D792"/>
      <c r="E792"/>
      <c r="F792"/>
      <c r="G792"/>
      <c r="H792"/>
      <c r="I792"/>
      <c r="J792"/>
      <c r="K792"/>
      <c r="L792"/>
      <c r="M792" s="18"/>
      <c r="N792"/>
      <c r="O792" s="13"/>
      <c r="P792" s="13"/>
      <c r="Q792" s="13"/>
      <c r="R792"/>
    </row>
    <row r="793" spans="1:18" ht="20.100000000000001" customHeight="1" x14ac:dyDescent="0.3">
      <c r="A793"/>
      <c r="B793"/>
      <c r="C793"/>
      <c r="D793"/>
      <c r="E793"/>
      <c r="F793"/>
      <c r="G793"/>
      <c r="H793"/>
      <c r="I793"/>
      <c r="J793"/>
      <c r="K793"/>
      <c r="L793"/>
      <c r="M793" s="18"/>
      <c r="N793"/>
      <c r="O793" s="13"/>
      <c r="P793" s="13"/>
      <c r="Q793" s="13"/>
      <c r="R793"/>
    </row>
    <row r="794" spans="1:18" ht="20.100000000000001" customHeight="1" x14ac:dyDescent="0.3">
      <c r="A794"/>
      <c r="B794"/>
      <c r="C794"/>
      <c r="D794"/>
      <c r="E794"/>
      <c r="F794"/>
      <c r="G794"/>
      <c r="H794"/>
      <c r="I794"/>
      <c r="J794"/>
      <c r="K794"/>
      <c r="L794"/>
      <c r="M794" s="18"/>
      <c r="N794"/>
      <c r="O794" s="13"/>
      <c r="P794" s="13"/>
      <c r="Q794" s="13"/>
      <c r="R794"/>
    </row>
    <row r="795" spans="1:18" ht="20.100000000000001" customHeight="1" x14ac:dyDescent="0.3">
      <c r="A795"/>
      <c r="B795"/>
      <c r="C795"/>
      <c r="D795"/>
      <c r="E795"/>
      <c r="F795"/>
      <c r="G795"/>
      <c r="H795"/>
      <c r="I795"/>
      <c r="J795"/>
      <c r="K795"/>
      <c r="L795"/>
      <c r="M795" s="18"/>
      <c r="N795"/>
      <c r="O795" s="13"/>
      <c r="P795" s="13"/>
      <c r="Q795" s="13"/>
      <c r="R795"/>
    </row>
    <row r="796" spans="1:18" ht="20.100000000000001" customHeight="1" x14ac:dyDescent="0.3">
      <c r="A796"/>
      <c r="B796"/>
      <c r="C796"/>
      <c r="D796"/>
      <c r="E796"/>
      <c r="F796"/>
      <c r="G796"/>
      <c r="H796"/>
      <c r="I796"/>
      <c r="J796"/>
      <c r="K796"/>
      <c r="L796"/>
      <c r="M796" s="18"/>
      <c r="N796"/>
      <c r="O796" s="13"/>
      <c r="P796" s="13"/>
      <c r="Q796" s="13"/>
      <c r="R796"/>
    </row>
    <row r="797" spans="1:18" ht="20.100000000000001" customHeight="1" x14ac:dyDescent="0.3">
      <c r="A797"/>
      <c r="B797"/>
      <c r="C797"/>
      <c r="D797"/>
      <c r="E797"/>
      <c r="F797"/>
      <c r="G797"/>
      <c r="H797"/>
      <c r="I797"/>
      <c r="J797"/>
      <c r="K797"/>
      <c r="L797"/>
      <c r="M797" s="18"/>
      <c r="N797"/>
      <c r="O797" s="13"/>
      <c r="P797" s="13"/>
      <c r="Q797" s="13"/>
      <c r="R797"/>
    </row>
    <row r="798" spans="1:18" ht="20.100000000000001" customHeight="1" x14ac:dyDescent="0.3">
      <c r="A798"/>
      <c r="B798"/>
      <c r="C798"/>
      <c r="D798"/>
      <c r="E798"/>
      <c r="F798"/>
      <c r="G798"/>
      <c r="H798"/>
      <c r="I798"/>
      <c r="J798"/>
      <c r="K798"/>
      <c r="L798"/>
      <c r="M798" s="18"/>
      <c r="N798"/>
      <c r="O798" s="13"/>
      <c r="P798" s="13"/>
      <c r="Q798" s="13"/>
      <c r="R798"/>
    </row>
    <row r="799" spans="1:18" ht="20.100000000000001" customHeight="1" x14ac:dyDescent="0.3">
      <c r="A799"/>
      <c r="B799"/>
      <c r="C799"/>
      <c r="D799"/>
      <c r="E799"/>
      <c r="F799"/>
      <c r="G799"/>
      <c r="H799"/>
      <c r="I799"/>
      <c r="J799"/>
      <c r="K799"/>
      <c r="L799"/>
      <c r="M799" s="18"/>
      <c r="N799"/>
      <c r="O799" s="13"/>
      <c r="P799" s="13"/>
      <c r="Q799" s="13"/>
      <c r="R799"/>
    </row>
    <row r="800" spans="1:18" ht="20.100000000000001" customHeight="1" x14ac:dyDescent="0.3">
      <c r="A800"/>
      <c r="B800"/>
      <c r="C800"/>
      <c r="D800"/>
      <c r="E800"/>
      <c r="F800"/>
      <c r="G800"/>
      <c r="H800"/>
      <c r="I800"/>
      <c r="J800"/>
      <c r="K800"/>
      <c r="L800"/>
      <c r="M800" s="18"/>
      <c r="N800"/>
      <c r="O800" s="13"/>
      <c r="P800" s="13"/>
      <c r="Q800" s="13"/>
      <c r="R800"/>
    </row>
    <row r="801" spans="1:18" ht="20.100000000000001" customHeight="1" x14ac:dyDescent="0.3">
      <c r="A801"/>
      <c r="B801"/>
      <c r="C801"/>
      <c r="D801"/>
      <c r="E801"/>
      <c r="F801"/>
      <c r="G801"/>
      <c r="H801"/>
      <c r="I801"/>
      <c r="J801"/>
      <c r="K801"/>
      <c r="L801"/>
      <c r="M801" s="18"/>
      <c r="N801"/>
      <c r="O801" s="13"/>
      <c r="P801" s="13"/>
      <c r="Q801" s="13"/>
      <c r="R801"/>
    </row>
    <row r="802" spans="1:18" ht="20.100000000000001" customHeight="1" x14ac:dyDescent="0.3">
      <c r="A802"/>
      <c r="B802"/>
      <c r="C802"/>
      <c r="D802"/>
      <c r="E802"/>
      <c r="F802"/>
      <c r="G802"/>
      <c r="H802"/>
      <c r="I802"/>
      <c r="J802"/>
      <c r="K802"/>
      <c r="L802"/>
      <c r="M802" s="18"/>
      <c r="N802"/>
      <c r="O802" s="13"/>
      <c r="P802" s="13"/>
      <c r="Q802" s="13"/>
      <c r="R802"/>
    </row>
    <row r="803" spans="1:18" ht="20.100000000000001" customHeight="1" x14ac:dyDescent="0.3">
      <c r="A803"/>
      <c r="B803"/>
      <c r="C803"/>
      <c r="D803"/>
      <c r="E803"/>
      <c r="F803"/>
      <c r="G803"/>
      <c r="H803"/>
      <c r="I803"/>
      <c r="J803"/>
      <c r="K803"/>
      <c r="L803"/>
      <c r="M803" s="18"/>
      <c r="N803"/>
      <c r="O803" s="13"/>
      <c r="P803" s="13"/>
      <c r="Q803" s="13"/>
      <c r="R803"/>
    </row>
    <row r="804" spans="1:18" ht="20.100000000000001" customHeight="1" x14ac:dyDescent="0.3">
      <c r="A804"/>
      <c r="B804"/>
      <c r="C804"/>
      <c r="D804"/>
      <c r="E804"/>
      <c r="F804"/>
      <c r="G804"/>
      <c r="H804"/>
      <c r="I804"/>
      <c r="J804"/>
      <c r="K804"/>
      <c r="L804"/>
      <c r="M804" s="18"/>
      <c r="N804"/>
      <c r="O804" s="13"/>
      <c r="P804" s="13"/>
      <c r="Q804" s="13"/>
      <c r="R804"/>
    </row>
    <row r="805" spans="1:18" ht="20.100000000000001" customHeight="1" x14ac:dyDescent="0.3">
      <c r="A805"/>
      <c r="B805"/>
      <c r="C805"/>
      <c r="D805"/>
      <c r="E805"/>
      <c r="F805"/>
      <c r="G805"/>
      <c r="H805"/>
      <c r="I805"/>
      <c r="J805"/>
      <c r="K805"/>
      <c r="L805"/>
      <c r="M805" s="18"/>
      <c r="N805"/>
      <c r="O805" s="13"/>
      <c r="P805" s="13"/>
      <c r="Q805" s="13"/>
      <c r="R805"/>
    </row>
    <row r="806" spans="1:18" ht="20.100000000000001" customHeight="1" x14ac:dyDescent="0.3">
      <c r="A806"/>
      <c r="B806"/>
      <c r="C806"/>
      <c r="D806"/>
      <c r="E806"/>
      <c r="F806"/>
      <c r="G806"/>
      <c r="H806"/>
      <c r="I806"/>
      <c r="J806"/>
      <c r="K806"/>
      <c r="L806"/>
      <c r="M806" s="18"/>
      <c r="N806"/>
      <c r="O806" s="13"/>
      <c r="P806" s="13"/>
      <c r="Q806" s="13"/>
      <c r="R806"/>
    </row>
    <row r="807" spans="1:18" ht="20.100000000000001" customHeight="1" x14ac:dyDescent="0.3">
      <c r="A807"/>
      <c r="B807"/>
      <c r="C807"/>
      <c r="D807"/>
      <c r="E807"/>
      <c r="F807"/>
      <c r="G807"/>
      <c r="H807"/>
      <c r="I807"/>
      <c r="J807"/>
      <c r="K807"/>
      <c r="L807"/>
      <c r="M807" s="18"/>
      <c r="N807"/>
      <c r="O807" s="13"/>
      <c r="P807" s="13"/>
      <c r="Q807" s="13"/>
      <c r="R807"/>
    </row>
    <row r="808" spans="1:18" ht="20.100000000000001" customHeight="1" x14ac:dyDescent="0.3">
      <c r="A808"/>
      <c r="B808"/>
      <c r="C808"/>
      <c r="D808"/>
      <c r="E808"/>
      <c r="F808"/>
      <c r="G808"/>
      <c r="H808"/>
      <c r="I808"/>
      <c r="J808"/>
      <c r="K808"/>
      <c r="L808"/>
      <c r="M808" s="18"/>
      <c r="N808"/>
      <c r="O808" s="13"/>
      <c r="P808" s="13"/>
      <c r="Q808" s="13"/>
      <c r="R808"/>
    </row>
    <row r="809" spans="1:18" ht="20.100000000000001" customHeight="1" x14ac:dyDescent="0.3">
      <c r="A809"/>
      <c r="B809"/>
      <c r="C809"/>
      <c r="D809"/>
      <c r="E809"/>
      <c r="F809"/>
      <c r="G809"/>
      <c r="H809"/>
      <c r="I809"/>
      <c r="J809"/>
      <c r="K809"/>
      <c r="L809"/>
      <c r="M809" s="18"/>
      <c r="N809"/>
      <c r="O809" s="13"/>
      <c r="P809" s="13"/>
      <c r="Q809" s="13"/>
      <c r="R809"/>
    </row>
    <row r="810" spans="1:18" ht="20.100000000000001" customHeight="1" x14ac:dyDescent="0.3">
      <c r="A810"/>
      <c r="B810"/>
      <c r="C810"/>
      <c r="D810"/>
      <c r="E810"/>
      <c r="F810"/>
      <c r="G810"/>
      <c r="H810"/>
      <c r="I810"/>
      <c r="J810"/>
      <c r="K810"/>
      <c r="L810"/>
      <c r="M810" s="18"/>
      <c r="N810"/>
      <c r="O810" s="13"/>
      <c r="P810" s="13"/>
      <c r="Q810" s="13"/>
      <c r="R810"/>
    </row>
    <row r="811" spans="1:18" ht="20.100000000000001" customHeight="1" x14ac:dyDescent="0.3">
      <c r="A811"/>
      <c r="B811"/>
      <c r="C811"/>
      <c r="D811"/>
      <c r="E811"/>
      <c r="F811"/>
      <c r="G811"/>
      <c r="H811"/>
      <c r="I811"/>
      <c r="J811"/>
      <c r="K811"/>
      <c r="L811"/>
      <c r="M811" s="18"/>
      <c r="N811"/>
      <c r="O811" s="13"/>
      <c r="P811" s="13"/>
      <c r="Q811" s="13"/>
      <c r="R811"/>
    </row>
    <row r="812" spans="1:18" ht="20.100000000000001" customHeight="1" x14ac:dyDescent="0.3">
      <c r="A812"/>
      <c r="B812"/>
      <c r="C812"/>
      <c r="D812"/>
      <c r="E812"/>
      <c r="F812"/>
      <c r="G812"/>
      <c r="H812"/>
      <c r="I812"/>
      <c r="J812"/>
      <c r="K812"/>
      <c r="L812"/>
      <c r="M812" s="18"/>
      <c r="N812"/>
      <c r="O812" s="13"/>
      <c r="P812" s="13"/>
      <c r="Q812" s="13"/>
      <c r="R812"/>
    </row>
    <row r="813" spans="1:18" ht="20.100000000000001" customHeight="1" x14ac:dyDescent="0.3">
      <c r="A813"/>
      <c r="B813"/>
      <c r="C813"/>
      <c r="D813"/>
      <c r="E813"/>
      <c r="F813"/>
      <c r="G813"/>
      <c r="H813"/>
      <c r="I813"/>
      <c r="J813"/>
      <c r="K813"/>
      <c r="L813"/>
      <c r="M813" s="18"/>
      <c r="N813"/>
      <c r="O813" s="13"/>
      <c r="P813" s="13"/>
      <c r="Q813" s="13"/>
      <c r="R813"/>
    </row>
    <row r="814" spans="1:18" ht="20.100000000000001" customHeight="1" x14ac:dyDescent="0.3">
      <c r="A814"/>
      <c r="B814"/>
      <c r="C814"/>
      <c r="D814"/>
      <c r="E814"/>
      <c r="F814"/>
      <c r="G814"/>
      <c r="H814"/>
      <c r="I814"/>
      <c r="J814"/>
      <c r="K814"/>
      <c r="L814"/>
      <c r="M814" s="18"/>
      <c r="N814"/>
      <c r="O814" s="13"/>
      <c r="P814" s="13"/>
      <c r="Q814" s="13"/>
      <c r="R814"/>
    </row>
    <row r="815" spans="1:18" ht="20.100000000000001" customHeight="1" x14ac:dyDescent="0.3">
      <c r="A815"/>
      <c r="B815"/>
      <c r="C815"/>
      <c r="D815"/>
      <c r="E815"/>
      <c r="F815"/>
      <c r="G815"/>
      <c r="H815"/>
      <c r="I815"/>
      <c r="J815"/>
      <c r="K815"/>
      <c r="L815"/>
      <c r="M815" s="18"/>
      <c r="N815"/>
      <c r="O815" s="13"/>
      <c r="P815" s="13"/>
      <c r="Q815" s="13"/>
      <c r="R815"/>
    </row>
    <row r="816" spans="1:18" ht="20.100000000000001" customHeight="1" x14ac:dyDescent="0.3">
      <c r="A816"/>
      <c r="B816"/>
      <c r="C816"/>
      <c r="D816"/>
      <c r="E816"/>
      <c r="F816"/>
      <c r="G816"/>
      <c r="H816"/>
      <c r="I816"/>
      <c r="J816"/>
      <c r="K816"/>
      <c r="L816"/>
      <c r="M816" s="18"/>
      <c r="N816"/>
      <c r="O816" s="13"/>
      <c r="P816" s="13"/>
      <c r="Q816" s="13"/>
      <c r="R816"/>
    </row>
    <row r="817" spans="1:18" ht="20.100000000000001" customHeight="1" x14ac:dyDescent="0.3">
      <c r="A817"/>
      <c r="B817"/>
      <c r="C817"/>
      <c r="D817"/>
      <c r="E817"/>
      <c r="F817"/>
      <c r="G817"/>
      <c r="H817"/>
      <c r="I817"/>
      <c r="J817"/>
      <c r="K817"/>
      <c r="L817"/>
      <c r="M817" s="18"/>
      <c r="N817"/>
      <c r="O817" s="13"/>
      <c r="P817" s="13"/>
      <c r="Q817" s="13"/>
      <c r="R817"/>
    </row>
    <row r="818" spans="1:18" ht="20.100000000000001" customHeight="1" x14ac:dyDescent="0.3">
      <c r="A818"/>
      <c r="B818"/>
      <c r="C818"/>
      <c r="D818"/>
      <c r="E818"/>
      <c r="F818"/>
      <c r="G818"/>
      <c r="H818"/>
      <c r="I818"/>
      <c r="J818"/>
      <c r="K818"/>
      <c r="L818"/>
      <c r="M818" s="18"/>
      <c r="N818"/>
      <c r="O818" s="13"/>
      <c r="P818" s="13"/>
      <c r="Q818" s="13"/>
      <c r="R818"/>
    </row>
    <row r="819" spans="1:18" ht="20.100000000000001" customHeight="1" x14ac:dyDescent="0.3">
      <c r="A819"/>
      <c r="B819"/>
      <c r="C819"/>
      <c r="D819"/>
      <c r="E819"/>
      <c r="F819"/>
      <c r="G819"/>
      <c r="H819"/>
      <c r="I819"/>
      <c r="J819"/>
      <c r="K819"/>
      <c r="L819"/>
      <c r="M819" s="18"/>
      <c r="N819"/>
      <c r="O819" s="13"/>
      <c r="P819" s="13"/>
      <c r="Q819" s="13"/>
      <c r="R819"/>
    </row>
    <row r="820" spans="1:18" ht="20.100000000000001" customHeight="1" x14ac:dyDescent="0.3">
      <c r="A820"/>
      <c r="B820"/>
      <c r="C820"/>
      <c r="D820"/>
      <c r="E820"/>
      <c r="F820"/>
      <c r="G820"/>
      <c r="H820"/>
      <c r="I820"/>
      <c r="J820"/>
      <c r="K820"/>
      <c r="L820"/>
      <c r="M820" s="18"/>
      <c r="N820"/>
      <c r="O820" s="13"/>
      <c r="P820" s="13"/>
      <c r="Q820" s="13"/>
      <c r="R820"/>
    </row>
    <row r="821" spans="1:18" ht="20.100000000000001" customHeight="1" x14ac:dyDescent="0.3">
      <c r="A821"/>
      <c r="B821"/>
      <c r="C821"/>
      <c r="D821"/>
      <c r="E821"/>
      <c r="F821"/>
      <c r="G821"/>
      <c r="H821"/>
      <c r="I821"/>
      <c r="J821"/>
      <c r="K821"/>
      <c r="L821"/>
      <c r="M821" s="18"/>
      <c r="N821"/>
      <c r="O821" s="13"/>
      <c r="P821" s="13"/>
      <c r="Q821" s="13"/>
      <c r="R821"/>
    </row>
    <row r="822" spans="1:18" ht="20.100000000000001" customHeight="1" x14ac:dyDescent="0.3">
      <c r="A822"/>
      <c r="B822"/>
      <c r="C822"/>
      <c r="D822"/>
      <c r="E822"/>
      <c r="F822"/>
      <c r="G822"/>
      <c r="H822"/>
      <c r="I822"/>
      <c r="J822"/>
      <c r="K822"/>
      <c r="L822"/>
      <c r="M822" s="18"/>
      <c r="N822"/>
      <c r="O822" s="13"/>
      <c r="P822" s="13"/>
      <c r="Q822" s="13"/>
      <c r="R822"/>
    </row>
    <row r="823" spans="1:18" ht="20.100000000000001" customHeight="1" x14ac:dyDescent="0.3">
      <c r="A823"/>
      <c r="B823"/>
      <c r="C823"/>
      <c r="D823"/>
      <c r="E823"/>
      <c r="F823"/>
      <c r="G823"/>
      <c r="H823"/>
      <c r="I823"/>
      <c r="J823"/>
      <c r="K823"/>
      <c r="L823"/>
      <c r="M823" s="18"/>
      <c r="N823"/>
      <c r="O823" s="13"/>
      <c r="P823" s="13"/>
      <c r="Q823" s="13"/>
      <c r="R823"/>
    </row>
    <row r="824" spans="1:18" ht="20.100000000000001" customHeight="1" x14ac:dyDescent="0.3">
      <c r="A824"/>
      <c r="B824"/>
      <c r="C824"/>
      <c r="D824"/>
      <c r="E824"/>
      <c r="F824"/>
      <c r="G824"/>
      <c r="H824"/>
      <c r="I824"/>
      <c r="J824"/>
      <c r="K824"/>
      <c r="L824"/>
      <c r="M824" s="18"/>
      <c r="N824"/>
      <c r="O824" s="13"/>
      <c r="P824" s="13"/>
      <c r="Q824" s="13"/>
      <c r="R824"/>
    </row>
    <row r="825" spans="1:18" ht="20.100000000000001" customHeight="1" x14ac:dyDescent="0.3">
      <c r="A825"/>
      <c r="B825"/>
      <c r="C825"/>
      <c r="D825"/>
      <c r="E825"/>
      <c r="F825"/>
      <c r="G825"/>
      <c r="H825"/>
      <c r="I825"/>
      <c r="J825"/>
      <c r="K825"/>
      <c r="L825"/>
      <c r="M825" s="18"/>
      <c r="N825"/>
      <c r="O825" s="13"/>
      <c r="P825" s="13"/>
      <c r="Q825" s="13"/>
      <c r="R825"/>
    </row>
    <row r="826" spans="1:18" ht="20.100000000000001" customHeight="1" x14ac:dyDescent="0.3">
      <c r="A826"/>
      <c r="B826"/>
      <c r="C826"/>
      <c r="D826"/>
      <c r="E826"/>
      <c r="F826"/>
      <c r="G826"/>
      <c r="H826"/>
      <c r="I826"/>
      <c r="J826"/>
      <c r="K826"/>
      <c r="L826"/>
      <c r="M826" s="18"/>
      <c r="N826"/>
      <c r="O826" s="13"/>
      <c r="P826" s="13"/>
      <c r="Q826" s="13"/>
      <c r="R826"/>
    </row>
    <row r="827" spans="1:18" ht="20.100000000000001" customHeight="1" x14ac:dyDescent="0.3">
      <c r="A827"/>
      <c r="B827"/>
      <c r="C827"/>
      <c r="D827"/>
      <c r="E827"/>
      <c r="F827"/>
      <c r="G827"/>
      <c r="H827"/>
      <c r="I827"/>
      <c r="J827"/>
      <c r="K827"/>
      <c r="L827"/>
      <c r="M827" s="18"/>
      <c r="N827"/>
      <c r="O827" s="13"/>
      <c r="P827" s="13"/>
      <c r="Q827" s="13"/>
      <c r="R827"/>
    </row>
    <row r="828" spans="1:18" ht="20.100000000000001" customHeight="1" x14ac:dyDescent="0.3">
      <c r="A828"/>
      <c r="B828"/>
      <c r="C828"/>
      <c r="D828"/>
      <c r="E828"/>
      <c r="F828"/>
      <c r="G828"/>
      <c r="H828"/>
      <c r="I828"/>
      <c r="J828"/>
      <c r="K828"/>
      <c r="L828"/>
      <c r="M828" s="18"/>
      <c r="N828"/>
      <c r="O828" s="13"/>
      <c r="P828" s="13"/>
      <c r="Q828" s="13"/>
      <c r="R828"/>
    </row>
    <row r="829" spans="1:18" ht="20.100000000000001" customHeight="1" x14ac:dyDescent="0.3">
      <c r="A829"/>
      <c r="B829"/>
      <c r="C829"/>
      <c r="D829"/>
      <c r="E829"/>
      <c r="F829"/>
      <c r="G829"/>
      <c r="H829"/>
      <c r="I829"/>
      <c r="J829"/>
      <c r="K829"/>
      <c r="L829"/>
      <c r="M829" s="18"/>
      <c r="N829"/>
      <c r="O829" s="13"/>
      <c r="P829" s="13"/>
      <c r="Q829" s="13"/>
      <c r="R829"/>
    </row>
    <row r="830" spans="1:18" ht="20.100000000000001" customHeight="1" x14ac:dyDescent="0.3">
      <c r="A830"/>
      <c r="B830"/>
      <c r="C830"/>
      <c r="D830"/>
      <c r="E830"/>
      <c r="F830"/>
      <c r="G830"/>
      <c r="H830"/>
      <c r="I830"/>
      <c r="J830"/>
      <c r="K830"/>
      <c r="L830"/>
      <c r="M830" s="18"/>
      <c r="N830"/>
      <c r="O830" s="13"/>
      <c r="P830" s="13"/>
      <c r="Q830" s="13"/>
      <c r="R830"/>
    </row>
    <row r="831" spans="1:18" ht="20.100000000000001" customHeight="1" x14ac:dyDescent="0.3">
      <c r="A831"/>
      <c r="B831"/>
      <c r="C831"/>
      <c r="D831"/>
      <c r="E831"/>
      <c r="F831"/>
      <c r="G831"/>
      <c r="H831"/>
      <c r="I831"/>
      <c r="J831"/>
      <c r="K831"/>
      <c r="L831"/>
      <c r="M831" s="18"/>
      <c r="N831"/>
      <c r="O831" s="13"/>
      <c r="P831" s="13"/>
      <c r="Q831" s="13"/>
      <c r="R831"/>
    </row>
    <row r="832" spans="1:18" ht="20.100000000000001" customHeight="1" x14ac:dyDescent="0.3">
      <c r="A832"/>
      <c r="B832"/>
      <c r="C832"/>
      <c r="D832"/>
      <c r="E832"/>
      <c r="F832"/>
      <c r="G832"/>
      <c r="H832"/>
      <c r="I832"/>
      <c r="J832"/>
      <c r="K832"/>
      <c r="L832"/>
      <c r="M832" s="18"/>
      <c r="N832"/>
      <c r="O832" s="13"/>
      <c r="P832" s="13"/>
      <c r="Q832" s="13"/>
      <c r="R832"/>
    </row>
    <row r="833" spans="1:18" ht="20.100000000000001" customHeight="1" x14ac:dyDescent="0.3">
      <c r="A833"/>
      <c r="B833"/>
      <c r="C833"/>
      <c r="D833"/>
      <c r="E833"/>
      <c r="F833"/>
      <c r="G833"/>
      <c r="H833"/>
      <c r="I833"/>
      <c r="J833"/>
      <c r="K833"/>
      <c r="L833"/>
      <c r="M833" s="18"/>
      <c r="N833"/>
      <c r="O833" s="13"/>
      <c r="P833" s="13"/>
      <c r="Q833" s="13"/>
      <c r="R833"/>
    </row>
    <row r="834" spans="1:18" ht="20.100000000000001" customHeight="1" x14ac:dyDescent="0.3">
      <c r="A834"/>
      <c r="B834"/>
      <c r="C834"/>
      <c r="D834"/>
      <c r="E834"/>
      <c r="F834"/>
      <c r="G834"/>
      <c r="H834"/>
      <c r="I834"/>
      <c r="J834"/>
      <c r="K834"/>
      <c r="L834"/>
      <c r="M834" s="18"/>
      <c r="N834"/>
      <c r="O834" s="13"/>
      <c r="P834" s="13"/>
      <c r="Q834" s="13"/>
      <c r="R834"/>
    </row>
    <row r="835" spans="1:18" ht="20.100000000000001" customHeight="1" x14ac:dyDescent="0.3">
      <c r="A835"/>
      <c r="B835"/>
      <c r="C835"/>
      <c r="D835"/>
      <c r="E835"/>
      <c r="F835"/>
      <c r="G835"/>
      <c r="H835"/>
      <c r="I835"/>
      <c r="J835"/>
      <c r="K835"/>
      <c r="L835"/>
      <c r="M835" s="18"/>
      <c r="N835"/>
      <c r="O835" s="13"/>
      <c r="P835" s="13"/>
      <c r="Q835" s="13"/>
      <c r="R835"/>
    </row>
    <row r="836" spans="1:18" ht="20.100000000000001" customHeight="1" x14ac:dyDescent="0.3">
      <c r="A836"/>
      <c r="B836"/>
      <c r="C836"/>
      <c r="D836"/>
      <c r="E836"/>
      <c r="F836"/>
      <c r="G836"/>
      <c r="H836"/>
      <c r="I836"/>
      <c r="J836"/>
      <c r="K836"/>
      <c r="L836"/>
      <c r="M836" s="18"/>
      <c r="N836"/>
      <c r="O836" s="13"/>
      <c r="P836" s="13"/>
      <c r="Q836" s="13"/>
      <c r="R836"/>
    </row>
    <row r="837" spans="1:18" ht="20.100000000000001" customHeight="1" x14ac:dyDescent="0.3">
      <c r="A837"/>
      <c r="B837"/>
      <c r="C837"/>
      <c r="D837"/>
      <c r="E837"/>
      <c r="F837"/>
      <c r="G837"/>
      <c r="H837"/>
      <c r="I837"/>
      <c r="J837"/>
      <c r="K837"/>
      <c r="L837"/>
      <c r="M837" s="18"/>
      <c r="N837"/>
      <c r="O837" s="13"/>
      <c r="P837" s="13"/>
      <c r="Q837" s="13"/>
      <c r="R837"/>
    </row>
    <row r="838" spans="1:18" ht="20.100000000000001" customHeight="1" x14ac:dyDescent="0.3">
      <c r="A838"/>
      <c r="B838"/>
      <c r="C838"/>
      <c r="D838"/>
      <c r="E838"/>
      <c r="F838"/>
      <c r="G838"/>
      <c r="H838"/>
      <c r="I838"/>
      <c r="J838"/>
      <c r="K838"/>
      <c r="L838"/>
      <c r="M838" s="18"/>
      <c r="N838"/>
      <c r="O838" s="13"/>
      <c r="P838" s="13"/>
      <c r="Q838" s="13"/>
      <c r="R838"/>
    </row>
    <row r="839" spans="1:18" ht="20.100000000000001" customHeight="1" x14ac:dyDescent="0.3">
      <c r="A839"/>
      <c r="B839"/>
      <c r="C839"/>
      <c r="D839"/>
      <c r="E839"/>
      <c r="F839"/>
      <c r="G839"/>
      <c r="H839"/>
      <c r="I839"/>
      <c r="J839"/>
      <c r="K839"/>
      <c r="L839"/>
      <c r="M839" s="18"/>
      <c r="N839"/>
      <c r="O839" s="13"/>
      <c r="P839" s="13"/>
      <c r="Q839" s="13"/>
      <c r="R839"/>
    </row>
    <row r="840" spans="1:18" ht="20.100000000000001" customHeight="1" x14ac:dyDescent="0.3">
      <c r="A840"/>
      <c r="B840"/>
      <c r="C840"/>
      <c r="D840"/>
      <c r="E840"/>
      <c r="F840"/>
      <c r="G840"/>
      <c r="H840"/>
      <c r="I840"/>
      <c r="J840"/>
      <c r="K840"/>
      <c r="L840"/>
      <c r="M840" s="18"/>
      <c r="N840"/>
      <c r="O840" s="13"/>
      <c r="P840" s="13"/>
      <c r="Q840" s="13"/>
      <c r="R840"/>
    </row>
    <row r="841" spans="1:18" ht="20.100000000000001" customHeight="1" x14ac:dyDescent="0.3">
      <c r="A841"/>
      <c r="B841"/>
      <c r="C841"/>
      <c r="D841"/>
      <c r="E841"/>
      <c r="F841"/>
      <c r="G841"/>
      <c r="H841"/>
      <c r="I841"/>
      <c r="J841"/>
      <c r="K841"/>
      <c r="L841"/>
      <c r="M841" s="18"/>
      <c r="N841"/>
      <c r="O841" s="13"/>
      <c r="P841" s="13"/>
      <c r="Q841" s="13"/>
      <c r="R841"/>
    </row>
    <row r="842" spans="1:18" ht="20.100000000000001" customHeight="1" x14ac:dyDescent="0.3">
      <c r="A842"/>
      <c r="B842"/>
      <c r="C842"/>
      <c r="D842"/>
      <c r="E842"/>
      <c r="F842"/>
      <c r="G842"/>
      <c r="H842"/>
      <c r="I842"/>
      <c r="J842"/>
      <c r="K842"/>
      <c r="L842"/>
      <c r="M842" s="18"/>
      <c r="N842"/>
      <c r="O842" s="13"/>
      <c r="P842" s="13"/>
      <c r="Q842" s="13"/>
      <c r="R842"/>
    </row>
    <row r="843" spans="1:18" ht="20.100000000000001" customHeight="1" x14ac:dyDescent="0.3">
      <c r="A843"/>
      <c r="B843"/>
      <c r="C843"/>
      <c r="D843"/>
      <c r="E843"/>
      <c r="F843"/>
      <c r="G843"/>
      <c r="H843"/>
      <c r="I843"/>
      <c r="J843"/>
      <c r="K843"/>
      <c r="L843"/>
      <c r="M843" s="18"/>
      <c r="N843"/>
      <c r="O843" s="13"/>
      <c r="P843" s="13"/>
      <c r="Q843" s="13"/>
      <c r="R843"/>
    </row>
    <row r="844" spans="1:18" ht="20.100000000000001" customHeight="1" x14ac:dyDescent="0.3">
      <c r="A844"/>
      <c r="B844"/>
      <c r="C844"/>
      <c r="D844"/>
      <c r="E844"/>
      <c r="F844"/>
      <c r="G844"/>
      <c r="H844"/>
      <c r="I844"/>
      <c r="J844"/>
      <c r="K844"/>
      <c r="L844"/>
      <c r="M844" s="18"/>
      <c r="N844"/>
      <c r="O844" s="13"/>
      <c r="P844" s="13"/>
      <c r="Q844" s="13"/>
      <c r="R844"/>
    </row>
    <row r="845" spans="1:18" ht="20.100000000000001" customHeight="1" x14ac:dyDescent="0.3">
      <c r="A845"/>
      <c r="B845"/>
      <c r="C845"/>
      <c r="D845"/>
      <c r="E845"/>
      <c r="F845"/>
      <c r="G845"/>
      <c r="H845"/>
      <c r="I845"/>
      <c r="J845"/>
      <c r="K845"/>
      <c r="L845"/>
      <c r="M845" s="18"/>
      <c r="N845"/>
      <c r="O845" s="13"/>
      <c r="P845" s="13"/>
      <c r="Q845" s="13"/>
      <c r="R845"/>
    </row>
    <row r="846" spans="1:18" ht="20.100000000000001" customHeight="1" x14ac:dyDescent="0.3">
      <c r="A846"/>
      <c r="B846"/>
      <c r="C846"/>
      <c r="D846"/>
      <c r="E846"/>
      <c r="F846"/>
      <c r="G846"/>
      <c r="H846"/>
      <c r="I846"/>
      <c r="J846"/>
      <c r="K846"/>
      <c r="L846"/>
      <c r="M846" s="18"/>
      <c r="N846"/>
      <c r="O846" s="13"/>
      <c r="P846" s="13"/>
      <c r="Q846" s="13"/>
      <c r="R846"/>
    </row>
    <row r="847" spans="1:18" ht="20.100000000000001" customHeight="1" x14ac:dyDescent="0.3">
      <c r="A847"/>
      <c r="B847"/>
      <c r="C847"/>
      <c r="D847"/>
      <c r="E847"/>
      <c r="F847"/>
      <c r="G847"/>
      <c r="H847"/>
      <c r="I847"/>
      <c r="J847"/>
      <c r="K847"/>
      <c r="L847"/>
      <c r="M847" s="18"/>
      <c r="N847"/>
      <c r="O847" s="13"/>
      <c r="P847" s="13"/>
      <c r="Q847" s="13"/>
      <c r="R847"/>
    </row>
    <row r="848" spans="1:18" ht="20.100000000000001" customHeight="1" x14ac:dyDescent="0.3">
      <c r="A848"/>
      <c r="B848"/>
      <c r="C848"/>
      <c r="D848"/>
      <c r="E848"/>
      <c r="F848"/>
      <c r="G848"/>
      <c r="H848"/>
      <c r="I848"/>
      <c r="J848"/>
      <c r="K848"/>
      <c r="L848"/>
      <c r="M848" s="18"/>
      <c r="N848"/>
      <c r="O848" s="13"/>
      <c r="P848" s="13"/>
      <c r="Q848" s="13"/>
      <c r="R848"/>
    </row>
    <row r="849" spans="1:18" ht="20.100000000000001" customHeight="1" x14ac:dyDescent="0.3">
      <c r="A849"/>
      <c r="B849"/>
      <c r="C849"/>
      <c r="D849"/>
      <c r="E849"/>
      <c r="F849"/>
      <c r="G849"/>
      <c r="H849"/>
      <c r="I849"/>
      <c r="J849"/>
      <c r="K849"/>
      <c r="L849"/>
      <c r="M849" s="18"/>
      <c r="N849"/>
      <c r="O849" s="13"/>
      <c r="P849" s="13"/>
      <c r="Q849" s="13"/>
      <c r="R849"/>
    </row>
    <row r="850" spans="1:18" ht="20.100000000000001" customHeight="1" x14ac:dyDescent="0.3">
      <c r="A850"/>
      <c r="B850"/>
      <c r="C850"/>
      <c r="D850"/>
      <c r="E850"/>
      <c r="F850"/>
      <c r="G850"/>
      <c r="H850"/>
      <c r="I850"/>
      <c r="J850"/>
      <c r="K850"/>
      <c r="L850"/>
      <c r="M850" s="18"/>
      <c r="N850"/>
      <c r="O850" s="13"/>
      <c r="P850" s="13"/>
      <c r="Q850" s="13"/>
      <c r="R850"/>
    </row>
    <row r="851" spans="1:18" ht="20.100000000000001" customHeight="1" x14ac:dyDescent="0.3">
      <c r="A851"/>
      <c r="B851"/>
      <c r="C851"/>
      <c r="D851"/>
      <c r="E851"/>
      <c r="F851"/>
      <c r="G851"/>
      <c r="H851"/>
      <c r="I851"/>
      <c r="J851"/>
      <c r="K851"/>
      <c r="L851"/>
      <c r="M851" s="18"/>
      <c r="N851"/>
      <c r="O851" s="13"/>
      <c r="P851" s="13"/>
      <c r="Q851" s="13"/>
      <c r="R851"/>
    </row>
    <row r="852" spans="1:18" ht="20.100000000000001" customHeight="1" x14ac:dyDescent="0.3">
      <c r="A852"/>
      <c r="B852"/>
      <c r="C852"/>
      <c r="D852"/>
      <c r="E852"/>
      <c r="F852"/>
      <c r="G852"/>
      <c r="H852"/>
      <c r="I852"/>
      <c r="J852"/>
      <c r="K852"/>
      <c r="L852"/>
      <c r="M852" s="18"/>
      <c r="N852"/>
      <c r="O852" s="13"/>
      <c r="P852" s="13"/>
      <c r="Q852" s="13"/>
      <c r="R852"/>
    </row>
    <row r="853" spans="1:18" ht="20.100000000000001" customHeight="1" x14ac:dyDescent="0.3">
      <c r="A853"/>
      <c r="B853"/>
      <c r="C853"/>
      <c r="D853"/>
      <c r="E853"/>
      <c r="F853"/>
      <c r="G853"/>
      <c r="H853"/>
      <c r="I853"/>
      <c r="J853"/>
      <c r="K853"/>
      <c r="L853"/>
      <c r="M853" s="18"/>
      <c r="N853"/>
      <c r="O853" s="13"/>
      <c r="P853" s="13"/>
      <c r="Q853" s="13"/>
      <c r="R853"/>
    </row>
    <row r="854" spans="1:18" ht="20.100000000000001" customHeight="1" x14ac:dyDescent="0.3">
      <c r="A854"/>
      <c r="B854"/>
      <c r="C854"/>
      <c r="D854"/>
      <c r="E854"/>
      <c r="F854"/>
      <c r="G854"/>
      <c r="H854"/>
      <c r="I854"/>
      <c r="J854"/>
      <c r="K854"/>
      <c r="L854"/>
      <c r="M854" s="18"/>
      <c r="N854"/>
      <c r="O854" s="13"/>
      <c r="P854" s="13"/>
      <c r="Q854" s="13"/>
      <c r="R854"/>
    </row>
    <row r="855" spans="1:18" ht="20.100000000000001" customHeight="1" x14ac:dyDescent="0.3">
      <c r="A855"/>
      <c r="B855"/>
      <c r="C855"/>
      <c r="D855"/>
      <c r="E855"/>
      <c r="F855"/>
      <c r="G855"/>
      <c r="H855"/>
      <c r="I855"/>
      <c r="J855"/>
      <c r="K855"/>
      <c r="L855"/>
      <c r="M855" s="18"/>
      <c r="N855"/>
      <c r="O855" s="13"/>
      <c r="P855" s="13"/>
      <c r="Q855" s="13"/>
      <c r="R855"/>
    </row>
    <row r="856" spans="1:18" ht="20.100000000000001" customHeight="1" x14ac:dyDescent="0.3">
      <c r="A856"/>
      <c r="B856"/>
      <c r="C856"/>
      <c r="D856"/>
      <c r="E856"/>
      <c r="F856"/>
      <c r="G856"/>
      <c r="H856"/>
      <c r="I856"/>
      <c r="J856"/>
      <c r="K856"/>
      <c r="L856"/>
      <c r="M856" s="18"/>
      <c r="N856"/>
      <c r="O856" s="13"/>
      <c r="P856" s="13"/>
      <c r="Q856" s="13"/>
      <c r="R856"/>
    </row>
    <row r="857" spans="1:18" ht="20.100000000000001" customHeight="1" x14ac:dyDescent="0.3">
      <c r="A857"/>
      <c r="B857"/>
      <c r="C857"/>
      <c r="D857"/>
      <c r="E857"/>
      <c r="F857"/>
      <c r="G857"/>
      <c r="H857"/>
      <c r="I857"/>
      <c r="J857"/>
      <c r="K857"/>
      <c r="L857"/>
      <c r="M857" s="18"/>
      <c r="N857"/>
      <c r="O857" s="13"/>
      <c r="P857" s="13"/>
      <c r="Q857" s="13"/>
      <c r="R857"/>
    </row>
    <row r="858" spans="1:18" ht="20.100000000000001" customHeight="1" x14ac:dyDescent="0.3">
      <c r="A858"/>
      <c r="B858"/>
      <c r="C858"/>
      <c r="D858"/>
      <c r="E858"/>
      <c r="F858"/>
      <c r="G858"/>
      <c r="H858"/>
      <c r="I858"/>
      <c r="J858"/>
      <c r="K858"/>
      <c r="L858"/>
      <c r="M858" s="18"/>
      <c r="N858"/>
      <c r="O858" s="13"/>
      <c r="P858" s="13"/>
      <c r="Q858" s="13"/>
      <c r="R858"/>
    </row>
    <row r="859" spans="1:18" ht="20.100000000000001" customHeight="1" x14ac:dyDescent="0.3">
      <c r="A859"/>
      <c r="B859"/>
      <c r="C859"/>
      <c r="D859"/>
      <c r="E859"/>
      <c r="F859"/>
      <c r="G859"/>
      <c r="H859"/>
      <c r="I859"/>
      <c r="J859"/>
      <c r="K859"/>
      <c r="L859"/>
      <c r="M859" s="18"/>
      <c r="N859"/>
      <c r="O859" s="13"/>
      <c r="P859" s="13"/>
      <c r="Q859" s="13"/>
      <c r="R859"/>
    </row>
    <row r="860" spans="1:18" ht="20.100000000000001" customHeight="1" x14ac:dyDescent="0.3">
      <c r="A860"/>
      <c r="B860"/>
      <c r="C860"/>
      <c r="D860"/>
      <c r="E860"/>
      <c r="F860"/>
      <c r="G860"/>
      <c r="H860"/>
      <c r="I860"/>
      <c r="J860"/>
      <c r="K860"/>
      <c r="L860"/>
      <c r="M860" s="18"/>
      <c r="N860"/>
      <c r="O860" s="13"/>
      <c r="P860" s="13"/>
      <c r="Q860" s="13"/>
      <c r="R860"/>
    </row>
    <row r="861" spans="1:18" ht="20.100000000000001" customHeight="1" x14ac:dyDescent="0.3">
      <c r="A861"/>
      <c r="B861"/>
      <c r="C861"/>
      <c r="D861"/>
      <c r="E861"/>
      <c r="F861"/>
      <c r="G861"/>
      <c r="H861"/>
      <c r="I861"/>
      <c r="J861"/>
      <c r="K861"/>
      <c r="L861"/>
      <c r="M861" s="18"/>
      <c r="N861"/>
      <c r="O861" s="13"/>
      <c r="P861" s="13"/>
      <c r="Q861" s="13"/>
      <c r="R861"/>
    </row>
    <row r="862" spans="1:18" ht="20.100000000000001" customHeight="1" x14ac:dyDescent="0.3">
      <c r="A862"/>
      <c r="B862"/>
      <c r="C862"/>
      <c r="D862"/>
      <c r="E862"/>
      <c r="F862"/>
      <c r="G862"/>
      <c r="H862"/>
      <c r="I862"/>
      <c r="J862"/>
      <c r="K862"/>
      <c r="L862"/>
      <c r="M862" s="18"/>
      <c r="N862"/>
      <c r="O862" s="13"/>
      <c r="P862" s="13"/>
      <c r="Q862" s="13"/>
      <c r="R862"/>
    </row>
    <row r="863" spans="1:18" ht="20.100000000000001" customHeight="1" x14ac:dyDescent="0.3">
      <c r="A863"/>
      <c r="B863"/>
      <c r="C863"/>
      <c r="D863"/>
      <c r="E863"/>
      <c r="F863"/>
      <c r="G863"/>
      <c r="H863"/>
      <c r="I863"/>
      <c r="J863"/>
      <c r="K863"/>
      <c r="L863"/>
      <c r="M863" s="18"/>
      <c r="N863"/>
      <c r="O863" s="13"/>
      <c r="P863" s="13"/>
      <c r="Q863" s="13"/>
      <c r="R863"/>
    </row>
    <row r="864" spans="1:18" ht="20.100000000000001" customHeight="1" x14ac:dyDescent="0.3">
      <c r="A864"/>
      <c r="B864"/>
      <c r="C864"/>
      <c r="D864"/>
      <c r="E864"/>
      <c r="F864"/>
      <c r="G864"/>
      <c r="H864"/>
      <c r="I864"/>
      <c r="J864"/>
      <c r="K864"/>
      <c r="L864"/>
      <c r="M864" s="18"/>
      <c r="N864"/>
      <c r="O864" s="13"/>
      <c r="P864" s="13"/>
      <c r="Q864" s="13"/>
      <c r="R864"/>
    </row>
    <row r="865" spans="1:18" ht="20.100000000000001" customHeight="1" x14ac:dyDescent="0.3">
      <c r="A865"/>
      <c r="B865"/>
      <c r="C865"/>
      <c r="D865"/>
      <c r="E865"/>
      <c r="F865"/>
      <c r="G865"/>
      <c r="H865"/>
      <c r="I865"/>
      <c r="J865"/>
      <c r="K865"/>
      <c r="L865"/>
      <c r="M865" s="18"/>
      <c r="N865"/>
      <c r="O865" s="13"/>
      <c r="P865" s="13"/>
      <c r="Q865" s="13"/>
      <c r="R865"/>
    </row>
    <row r="866" spans="1:18" ht="20.100000000000001" customHeight="1" x14ac:dyDescent="0.3">
      <c r="A866"/>
      <c r="B866"/>
      <c r="C866"/>
      <c r="D866"/>
      <c r="E866"/>
      <c r="F866"/>
      <c r="G866"/>
      <c r="H866"/>
      <c r="I866"/>
      <c r="J866"/>
      <c r="K866"/>
      <c r="L866"/>
      <c r="M866" s="18"/>
      <c r="N866"/>
      <c r="O866" s="13"/>
      <c r="P866" s="13"/>
      <c r="Q866" s="13"/>
      <c r="R866"/>
    </row>
    <row r="867" spans="1:18" ht="20.100000000000001" customHeight="1" x14ac:dyDescent="0.3">
      <c r="A867"/>
      <c r="B867"/>
      <c r="C867"/>
      <c r="D867"/>
      <c r="E867"/>
      <c r="F867"/>
      <c r="G867"/>
      <c r="H867"/>
      <c r="I867"/>
      <c r="J867"/>
      <c r="K867"/>
      <c r="L867"/>
      <c r="M867" s="18"/>
      <c r="N867"/>
      <c r="O867" s="13"/>
      <c r="P867" s="13"/>
      <c r="Q867" s="13"/>
      <c r="R867"/>
    </row>
    <row r="868" spans="1:18" ht="20.100000000000001" customHeight="1" x14ac:dyDescent="0.3">
      <c r="A868"/>
      <c r="B868"/>
      <c r="C868"/>
      <c r="D868"/>
      <c r="E868"/>
      <c r="F868"/>
      <c r="G868"/>
      <c r="H868"/>
      <c r="I868"/>
      <c r="J868"/>
      <c r="K868"/>
      <c r="L868"/>
      <c r="M868" s="18"/>
      <c r="N868"/>
      <c r="O868" s="13"/>
      <c r="P868" s="13"/>
      <c r="Q868" s="13"/>
      <c r="R868"/>
    </row>
    <row r="869" spans="1:18" ht="20.100000000000001" customHeight="1" x14ac:dyDescent="0.3">
      <c r="A869"/>
      <c r="B869"/>
      <c r="C869"/>
      <c r="D869"/>
      <c r="E869"/>
      <c r="F869"/>
      <c r="G869"/>
      <c r="H869"/>
      <c r="I869"/>
      <c r="J869"/>
      <c r="K869"/>
      <c r="L869"/>
      <c r="M869" s="18"/>
      <c r="N869"/>
      <c r="O869" s="13"/>
      <c r="P869" s="13"/>
      <c r="Q869" s="13"/>
      <c r="R869"/>
    </row>
    <row r="870" spans="1:18" ht="20.100000000000001" customHeight="1" x14ac:dyDescent="0.3">
      <c r="A870"/>
      <c r="B870"/>
      <c r="C870"/>
      <c r="D870"/>
      <c r="E870"/>
      <c r="F870"/>
      <c r="G870"/>
      <c r="H870"/>
      <c r="I870"/>
      <c r="J870"/>
      <c r="K870"/>
      <c r="L870"/>
      <c r="M870" s="18"/>
      <c r="N870"/>
      <c r="O870" s="13"/>
      <c r="P870" s="13"/>
      <c r="Q870" s="13"/>
      <c r="R870"/>
    </row>
    <row r="871" spans="1:18" ht="20.100000000000001" customHeight="1" x14ac:dyDescent="0.3">
      <c r="A871"/>
      <c r="B871"/>
      <c r="C871"/>
      <c r="D871"/>
      <c r="E871"/>
      <c r="F871"/>
      <c r="G871"/>
      <c r="H871"/>
      <c r="I871"/>
      <c r="J871"/>
      <c r="K871"/>
      <c r="L871"/>
      <c r="M871" s="18"/>
      <c r="N871"/>
      <c r="O871" s="13"/>
      <c r="P871" s="13"/>
      <c r="Q871" s="13"/>
      <c r="R871"/>
    </row>
    <row r="872" spans="1:18" ht="20.100000000000001" customHeight="1" x14ac:dyDescent="0.3">
      <c r="A872"/>
      <c r="B872"/>
      <c r="C872"/>
      <c r="D872"/>
      <c r="E872"/>
      <c r="F872"/>
      <c r="G872"/>
      <c r="H872"/>
      <c r="I872"/>
      <c r="J872"/>
      <c r="K872"/>
      <c r="L872"/>
      <c r="M872" s="18"/>
      <c r="N872"/>
      <c r="O872" s="13"/>
      <c r="P872" s="13"/>
      <c r="Q872" s="13"/>
      <c r="R872"/>
    </row>
    <row r="873" spans="1:18" ht="20.100000000000001" customHeight="1" x14ac:dyDescent="0.3">
      <c r="A873"/>
      <c r="B873"/>
      <c r="C873"/>
      <c r="D873"/>
      <c r="E873"/>
      <c r="F873"/>
      <c r="G873"/>
      <c r="H873"/>
      <c r="I873"/>
      <c r="J873"/>
      <c r="K873"/>
      <c r="L873"/>
      <c r="M873" s="18"/>
      <c r="N873"/>
      <c r="O873" s="13"/>
      <c r="P873" s="13"/>
      <c r="Q873" s="13"/>
      <c r="R873"/>
    </row>
    <row r="874" spans="1:18" ht="20.100000000000001" customHeight="1" x14ac:dyDescent="0.3">
      <c r="A874"/>
      <c r="B874"/>
      <c r="C874"/>
      <c r="D874"/>
      <c r="E874"/>
      <c r="F874"/>
      <c r="G874"/>
      <c r="H874"/>
      <c r="I874"/>
      <c r="J874"/>
      <c r="K874"/>
      <c r="L874"/>
      <c r="M874" s="18"/>
      <c r="N874"/>
      <c r="O874" s="13"/>
      <c r="P874" s="13"/>
      <c r="Q874" s="13"/>
      <c r="R874"/>
    </row>
    <row r="875" spans="1:18" ht="20.100000000000001" customHeight="1" x14ac:dyDescent="0.3">
      <c r="A875"/>
      <c r="B875"/>
      <c r="C875"/>
      <c r="D875"/>
      <c r="E875"/>
      <c r="F875"/>
      <c r="G875"/>
      <c r="H875"/>
      <c r="I875"/>
      <c r="J875"/>
      <c r="K875"/>
      <c r="L875"/>
      <c r="M875" s="18"/>
      <c r="N875"/>
      <c r="O875" s="13"/>
      <c r="P875" s="13"/>
      <c r="Q875" s="13"/>
      <c r="R875"/>
    </row>
    <row r="876" spans="1:18" ht="20.100000000000001" customHeight="1" x14ac:dyDescent="0.3">
      <c r="A876"/>
      <c r="B876"/>
      <c r="C876"/>
      <c r="D876"/>
      <c r="E876"/>
      <c r="F876"/>
      <c r="G876"/>
      <c r="H876"/>
      <c r="I876"/>
      <c r="J876"/>
      <c r="K876"/>
      <c r="L876"/>
      <c r="M876" s="18"/>
      <c r="N876"/>
      <c r="O876" s="13"/>
      <c r="P876" s="13"/>
      <c r="Q876" s="13"/>
      <c r="R876"/>
    </row>
    <row r="877" spans="1:18" ht="20.100000000000001" customHeight="1" x14ac:dyDescent="0.3">
      <c r="A877"/>
      <c r="B877"/>
      <c r="C877"/>
      <c r="D877"/>
      <c r="E877"/>
      <c r="F877"/>
      <c r="G877"/>
      <c r="H877"/>
      <c r="I877"/>
      <c r="J877"/>
      <c r="K877"/>
      <c r="L877"/>
      <c r="M877" s="18"/>
      <c r="N877"/>
      <c r="O877" s="13"/>
      <c r="P877" s="13"/>
      <c r="Q877" s="13"/>
      <c r="R877"/>
    </row>
    <row r="878" spans="1:18" ht="20.100000000000001" customHeight="1" x14ac:dyDescent="0.3">
      <c r="A878"/>
      <c r="B878"/>
      <c r="C878"/>
      <c r="D878"/>
      <c r="E878"/>
      <c r="F878"/>
      <c r="G878"/>
      <c r="H878"/>
      <c r="I878"/>
      <c r="J878"/>
      <c r="K878"/>
      <c r="L878"/>
      <c r="M878" s="18"/>
      <c r="N878"/>
      <c r="O878" s="13"/>
      <c r="P878" s="13"/>
      <c r="Q878" s="13"/>
      <c r="R878"/>
    </row>
    <row r="879" spans="1:18" ht="20.100000000000001" customHeight="1" x14ac:dyDescent="0.3">
      <c r="A879"/>
      <c r="B879"/>
      <c r="C879"/>
      <c r="D879"/>
      <c r="E879"/>
      <c r="F879"/>
      <c r="G879"/>
      <c r="H879"/>
      <c r="I879"/>
      <c r="J879"/>
      <c r="K879"/>
      <c r="L879"/>
      <c r="M879" s="18"/>
      <c r="N879"/>
      <c r="O879" s="13"/>
      <c r="P879" s="13"/>
      <c r="Q879" s="13"/>
      <c r="R879"/>
    </row>
    <row r="880" spans="1:18" ht="20.100000000000001" customHeight="1" x14ac:dyDescent="0.3">
      <c r="A880"/>
      <c r="B880"/>
      <c r="C880"/>
      <c r="D880"/>
      <c r="E880"/>
      <c r="F880"/>
      <c r="G880"/>
      <c r="H880"/>
      <c r="I880"/>
      <c r="J880"/>
      <c r="K880"/>
      <c r="L880"/>
      <c r="M880" s="18"/>
      <c r="N880"/>
      <c r="O880" s="13"/>
      <c r="P880" s="13"/>
      <c r="Q880" s="13"/>
      <c r="R880"/>
    </row>
    <row r="881" spans="1:18" ht="20.100000000000001" customHeight="1" x14ac:dyDescent="0.3">
      <c r="A881"/>
      <c r="B881"/>
      <c r="C881"/>
      <c r="D881"/>
      <c r="E881"/>
      <c r="F881"/>
      <c r="G881"/>
      <c r="H881"/>
      <c r="I881"/>
      <c r="J881"/>
      <c r="K881"/>
      <c r="L881"/>
      <c r="M881" s="18"/>
      <c r="N881"/>
      <c r="O881" s="13"/>
      <c r="P881" s="13"/>
      <c r="Q881" s="13"/>
      <c r="R881"/>
    </row>
    <row r="882" spans="1:18" ht="20.100000000000001" customHeight="1" x14ac:dyDescent="0.3">
      <c r="A882"/>
      <c r="B882"/>
      <c r="C882"/>
      <c r="D882"/>
      <c r="E882"/>
      <c r="F882"/>
      <c r="G882"/>
      <c r="H882"/>
      <c r="I882"/>
      <c r="J882"/>
      <c r="K882"/>
      <c r="L882"/>
      <c r="M882" s="18"/>
      <c r="N882"/>
      <c r="O882" s="13"/>
      <c r="P882" s="13"/>
      <c r="Q882" s="13"/>
      <c r="R882"/>
    </row>
    <row r="883" spans="1:18" ht="20.100000000000001" customHeight="1" x14ac:dyDescent="0.3">
      <c r="A883"/>
      <c r="B883"/>
      <c r="C883"/>
      <c r="D883"/>
      <c r="E883"/>
      <c r="F883"/>
      <c r="G883"/>
      <c r="H883"/>
      <c r="I883"/>
      <c r="J883"/>
      <c r="K883"/>
      <c r="L883"/>
      <c r="M883" s="18"/>
      <c r="N883"/>
      <c r="O883" s="13"/>
      <c r="P883" s="13"/>
      <c r="Q883" s="13"/>
      <c r="R883"/>
    </row>
    <row r="884" spans="1:18" ht="20.100000000000001" customHeight="1" x14ac:dyDescent="0.3">
      <c r="A884"/>
      <c r="B884"/>
      <c r="C884"/>
      <c r="D884"/>
      <c r="E884"/>
      <c r="F884"/>
      <c r="G884"/>
      <c r="H884"/>
      <c r="I884"/>
      <c r="J884"/>
      <c r="K884"/>
      <c r="L884"/>
      <c r="M884" s="18"/>
      <c r="N884"/>
      <c r="O884" s="13"/>
      <c r="P884" s="13"/>
      <c r="Q884" s="13"/>
      <c r="R884"/>
    </row>
    <row r="885" spans="1:18" ht="20.100000000000001" customHeight="1" x14ac:dyDescent="0.3">
      <c r="A885"/>
      <c r="B885"/>
      <c r="C885"/>
      <c r="D885"/>
      <c r="E885"/>
      <c r="F885"/>
      <c r="G885"/>
      <c r="H885"/>
      <c r="I885"/>
      <c r="J885"/>
      <c r="K885"/>
      <c r="L885"/>
      <c r="M885" s="18"/>
      <c r="N885"/>
      <c r="O885" s="13"/>
      <c r="P885" s="13"/>
      <c r="Q885" s="13"/>
      <c r="R885"/>
    </row>
    <row r="886" spans="1:18" ht="20.100000000000001" customHeight="1" x14ac:dyDescent="0.3">
      <c r="A886"/>
      <c r="B886"/>
      <c r="C886"/>
      <c r="D886"/>
      <c r="E886"/>
      <c r="F886"/>
      <c r="G886"/>
      <c r="H886"/>
      <c r="I886"/>
      <c r="J886"/>
      <c r="K886"/>
      <c r="L886"/>
      <c r="M886" s="18"/>
      <c r="N886"/>
      <c r="O886" s="13"/>
      <c r="P886" s="13"/>
      <c r="Q886" s="13"/>
      <c r="R886"/>
    </row>
    <row r="887" spans="1:18" ht="20.100000000000001" customHeight="1" x14ac:dyDescent="0.3">
      <c r="A887"/>
      <c r="B887"/>
      <c r="C887"/>
      <c r="D887"/>
      <c r="E887"/>
      <c r="F887"/>
      <c r="G887"/>
      <c r="H887"/>
      <c r="I887"/>
      <c r="J887"/>
      <c r="K887"/>
      <c r="L887"/>
      <c r="M887" s="18"/>
      <c r="N887"/>
      <c r="O887" s="13"/>
      <c r="P887" s="13"/>
      <c r="Q887" s="13"/>
      <c r="R887"/>
    </row>
    <row r="888" spans="1:18" ht="20.100000000000001" customHeight="1" x14ac:dyDescent="0.3">
      <c r="A888"/>
      <c r="B888"/>
      <c r="C888"/>
      <c r="D888"/>
      <c r="E888"/>
      <c r="F888"/>
      <c r="G888"/>
      <c r="H888"/>
      <c r="I888"/>
      <c r="J888"/>
      <c r="K888"/>
      <c r="L888"/>
      <c r="M888" s="18"/>
      <c r="N888"/>
      <c r="O888" s="13"/>
      <c r="P888" s="13"/>
      <c r="Q888" s="13"/>
      <c r="R888"/>
    </row>
    <row r="889" spans="1:18" ht="20.100000000000001" customHeight="1" x14ac:dyDescent="0.3">
      <c r="A889"/>
      <c r="B889"/>
      <c r="C889"/>
      <c r="D889"/>
      <c r="E889"/>
      <c r="F889"/>
      <c r="G889"/>
      <c r="H889"/>
      <c r="I889"/>
      <c r="J889"/>
      <c r="K889"/>
      <c r="L889"/>
      <c r="M889" s="18"/>
      <c r="N889"/>
      <c r="O889" s="13"/>
      <c r="P889" s="13"/>
      <c r="Q889" s="13"/>
      <c r="R889"/>
    </row>
    <row r="890" spans="1:18" ht="20.100000000000001" customHeight="1" x14ac:dyDescent="0.3">
      <c r="A890"/>
      <c r="B890"/>
      <c r="C890"/>
      <c r="D890"/>
      <c r="E890"/>
      <c r="F890"/>
      <c r="G890"/>
      <c r="H890"/>
      <c r="I890"/>
      <c r="J890"/>
      <c r="K890"/>
      <c r="L890"/>
      <c r="M890" s="18"/>
      <c r="N890"/>
      <c r="O890" s="13"/>
      <c r="P890" s="13"/>
      <c r="Q890" s="13"/>
      <c r="R890"/>
    </row>
    <row r="891" spans="1:18" ht="20.100000000000001" customHeight="1" x14ac:dyDescent="0.3">
      <c r="A891"/>
      <c r="B891"/>
      <c r="C891"/>
      <c r="D891"/>
      <c r="E891"/>
      <c r="F891"/>
      <c r="G891"/>
      <c r="H891"/>
      <c r="I891"/>
      <c r="J891"/>
      <c r="K891"/>
      <c r="L891"/>
      <c r="M891" s="18"/>
      <c r="N891"/>
      <c r="O891" s="13"/>
      <c r="P891" s="13"/>
      <c r="Q891" s="13"/>
      <c r="R891"/>
    </row>
    <row r="892" spans="1:18" ht="20.100000000000001" customHeight="1" x14ac:dyDescent="0.3">
      <c r="A892"/>
      <c r="B892"/>
      <c r="C892"/>
      <c r="D892"/>
      <c r="E892"/>
      <c r="F892"/>
      <c r="G892"/>
      <c r="H892"/>
      <c r="I892"/>
      <c r="J892"/>
      <c r="K892"/>
      <c r="L892"/>
      <c r="M892" s="18"/>
      <c r="N892"/>
      <c r="O892" s="13"/>
      <c r="P892" s="13"/>
      <c r="Q892" s="13"/>
      <c r="R892"/>
    </row>
    <row r="893" spans="1:18" ht="20.100000000000001" customHeight="1" x14ac:dyDescent="0.3">
      <c r="A893"/>
      <c r="B893"/>
      <c r="C893"/>
      <c r="D893"/>
      <c r="E893"/>
      <c r="F893"/>
      <c r="G893"/>
      <c r="H893"/>
      <c r="I893"/>
      <c r="J893"/>
      <c r="K893"/>
      <c r="L893"/>
      <c r="M893" s="18"/>
      <c r="N893"/>
      <c r="O893" s="13"/>
      <c r="P893" s="13"/>
      <c r="Q893" s="13"/>
      <c r="R893"/>
    </row>
    <row r="894" spans="1:18" ht="20.100000000000001" customHeight="1" x14ac:dyDescent="0.3">
      <c r="A894"/>
      <c r="B894"/>
      <c r="C894"/>
      <c r="D894"/>
      <c r="E894"/>
      <c r="F894"/>
      <c r="G894"/>
      <c r="H894"/>
      <c r="I894"/>
      <c r="J894"/>
      <c r="K894"/>
      <c r="L894"/>
      <c r="M894" s="18"/>
      <c r="N894"/>
      <c r="O894" s="13"/>
      <c r="P894" s="13"/>
      <c r="Q894" s="13"/>
      <c r="R894"/>
    </row>
    <row r="895" spans="1:18" ht="20.100000000000001" customHeight="1" x14ac:dyDescent="0.3">
      <c r="A895"/>
      <c r="B895"/>
      <c r="C895"/>
      <c r="D895"/>
      <c r="E895"/>
      <c r="F895"/>
      <c r="G895"/>
      <c r="H895"/>
      <c r="I895"/>
      <c r="J895"/>
      <c r="K895"/>
      <c r="L895"/>
      <c r="M895" s="18"/>
      <c r="N895"/>
      <c r="O895" s="13"/>
      <c r="P895" s="13"/>
      <c r="Q895" s="13"/>
      <c r="R895"/>
    </row>
    <row r="896" spans="1:18" ht="20.100000000000001" customHeight="1" x14ac:dyDescent="0.3">
      <c r="A896"/>
      <c r="B896"/>
      <c r="C896"/>
      <c r="D896"/>
      <c r="E896"/>
      <c r="F896"/>
      <c r="G896"/>
      <c r="H896"/>
      <c r="I896"/>
      <c r="J896"/>
      <c r="K896"/>
      <c r="L896"/>
      <c r="M896" s="18"/>
      <c r="N896"/>
      <c r="O896" s="13"/>
      <c r="P896" s="13"/>
      <c r="Q896" s="13"/>
      <c r="R896"/>
    </row>
    <row r="897" spans="1:18" ht="20.100000000000001" customHeight="1" x14ac:dyDescent="0.3">
      <c r="A897"/>
      <c r="B897"/>
      <c r="C897"/>
      <c r="D897"/>
      <c r="E897"/>
      <c r="F897"/>
      <c r="G897"/>
      <c r="H897"/>
      <c r="I897"/>
      <c r="J897"/>
      <c r="K897"/>
      <c r="L897"/>
      <c r="M897" s="18"/>
      <c r="N897"/>
      <c r="O897" s="13"/>
      <c r="P897" s="13"/>
      <c r="Q897" s="13"/>
      <c r="R897"/>
    </row>
    <row r="898" spans="1:18" ht="20.100000000000001" customHeight="1" x14ac:dyDescent="0.3">
      <c r="A898"/>
      <c r="B898"/>
      <c r="C898"/>
      <c r="D898"/>
      <c r="E898"/>
      <c r="F898"/>
      <c r="G898"/>
      <c r="H898"/>
      <c r="I898"/>
      <c r="J898"/>
      <c r="K898"/>
      <c r="L898"/>
      <c r="M898" s="18"/>
      <c r="N898"/>
      <c r="O898" s="13"/>
      <c r="P898" s="13"/>
      <c r="Q898" s="13"/>
      <c r="R898"/>
    </row>
    <row r="899" spans="1:18" ht="20.100000000000001" customHeight="1" x14ac:dyDescent="0.3">
      <c r="A899"/>
      <c r="B899"/>
      <c r="C899"/>
      <c r="D899"/>
      <c r="E899"/>
      <c r="F899"/>
      <c r="G899"/>
      <c r="H899"/>
      <c r="I899"/>
      <c r="J899"/>
      <c r="K899"/>
      <c r="L899"/>
      <c r="M899" s="18"/>
      <c r="N899"/>
      <c r="O899" s="13"/>
      <c r="P899" s="13"/>
      <c r="Q899" s="13"/>
      <c r="R899"/>
    </row>
    <row r="900" spans="1:18" ht="20.100000000000001" customHeight="1" x14ac:dyDescent="0.3">
      <c r="A900"/>
      <c r="B900"/>
      <c r="C900"/>
      <c r="D900"/>
      <c r="E900"/>
      <c r="F900"/>
      <c r="G900"/>
      <c r="H900"/>
      <c r="I900"/>
      <c r="J900"/>
      <c r="K900"/>
      <c r="L900"/>
      <c r="M900" s="18"/>
      <c r="N900"/>
      <c r="O900" s="13"/>
      <c r="P900" s="13"/>
      <c r="Q900" s="13"/>
      <c r="R900"/>
    </row>
    <row r="901" spans="1:18" ht="20.100000000000001" customHeight="1" x14ac:dyDescent="0.3">
      <c r="A901"/>
      <c r="B901"/>
      <c r="C901"/>
      <c r="D901"/>
      <c r="E901"/>
      <c r="F901"/>
      <c r="G901"/>
      <c r="H901"/>
      <c r="I901"/>
      <c r="J901"/>
      <c r="K901"/>
      <c r="L901"/>
      <c r="M901" s="18"/>
      <c r="N901"/>
      <c r="O901" s="13"/>
      <c r="P901" s="13"/>
      <c r="Q901" s="13"/>
      <c r="R901"/>
    </row>
    <row r="902" spans="1:18" ht="20.100000000000001" customHeight="1" x14ac:dyDescent="0.3">
      <c r="A902"/>
      <c r="B902"/>
      <c r="C902"/>
      <c r="D902"/>
      <c r="E902"/>
      <c r="F902"/>
      <c r="G902"/>
      <c r="H902"/>
      <c r="I902"/>
      <c r="J902"/>
      <c r="K902"/>
      <c r="L902"/>
      <c r="M902" s="18"/>
      <c r="N902"/>
      <c r="O902" s="13"/>
      <c r="P902" s="13"/>
      <c r="Q902" s="13"/>
      <c r="R902"/>
    </row>
    <row r="903" spans="1:18" ht="20.100000000000001" customHeight="1" x14ac:dyDescent="0.3">
      <c r="A903"/>
      <c r="B903"/>
      <c r="C903"/>
      <c r="D903"/>
      <c r="E903"/>
      <c r="F903"/>
      <c r="G903"/>
      <c r="H903"/>
      <c r="I903"/>
      <c r="J903"/>
      <c r="K903"/>
      <c r="L903"/>
      <c r="M903" s="18"/>
      <c r="N903"/>
      <c r="O903" s="13"/>
      <c r="P903" s="13"/>
      <c r="Q903" s="13"/>
      <c r="R903"/>
    </row>
    <row r="904" spans="1:18" ht="20.100000000000001" customHeight="1" x14ac:dyDescent="0.3">
      <c r="A904"/>
      <c r="B904"/>
      <c r="C904"/>
      <c r="D904"/>
      <c r="E904"/>
      <c r="F904"/>
      <c r="G904"/>
      <c r="H904"/>
      <c r="I904"/>
      <c r="J904"/>
      <c r="K904"/>
      <c r="L904"/>
      <c r="M904" s="18"/>
      <c r="N904"/>
      <c r="O904" s="13"/>
      <c r="P904" s="13"/>
      <c r="Q904" s="13"/>
      <c r="R904"/>
    </row>
    <row r="905" spans="1:18" ht="20.100000000000001" customHeight="1" x14ac:dyDescent="0.3">
      <c r="A905"/>
      <c r="B905"/>
      <c r="C905"/>
      <c r="D905"/>
      <c r="E905"/>
      <c r="F905"/>
      <c r="G905"/>
      <c r="H905"/>
      <c r="I905"/>
      <c r="J905"/>
      <c r="K905"/>
      <c r="L905"/>
      <c r="M905" s="18"/>
      <c r="N905"/>
      <c r="O905" s="13"/>
      <c r="P905" s="13"/>
      <c r="Q905" s="13"/>
      <c r="R905"/>
    </row>
    <row r="906" spans="1:18" ht="20.100000000000001" customHeight="1" x14ac:dyDescent="0.3">
      <c r="A906"/>
      <c r="B906"/>
      <c r="C906"/>
      <c r="D906"/>
      <c r="E906"/>
      <c r="F906"/>
      <c r="G906"/>
      <c r="H906"/>
      <c r="I906"/>
      <c r="J906"/>
      <c r="K906"/>
      <c r="L906"/>
      <c r="M906" s="18"/>
      <c r="N906"/>
      <c r="O906" s="13"/>
      <c r="P906" s="13"/>
      <c r="Q906" s="13"/>
      <c r="R906"/>
    </row>
    <row r="907" spans="1:18" ht="20.100000000000001" customHeight="1" x14ac:dyDescent="0.3">
      <c r="A907"/>
      <c r="B907"/>
      <c r="C907"/>
      <c r="D907"/>
      <c r="E907"/>
      <c r="F907"/>
      <c r="G907"/>
      <c r="H907"/>
      <c r="I907"/>
      <c r="J907"/>
      <c r="K907"/>
      <c r="L907"/>
      <c r="M907" s="18"/>
      <c r="N907"/>
      <c r="O907" s="13"/>
      <c r="P907" s="13"/>
      <c r="Q907" s="13"/>
      <c r="R907"/>
    </row>
    <row r="908" spans="1:18" ht="20.100000000000001" customHeight="1" x14ac:dyDescent="0.3">
      <c r="A908"/>
      <c r="B908"/>
      <c r="C908"/>
      <c r="D908"/>
      <c r="E908"/>
      <c r="F908"/>
      <c r="G908"/>
      <c r="H908"/>
      <c r="I908"/>
      <c r="J908"/>
      <c r="K908"/>
      <c r="L908"/>
      <c r="M908" s="18"/>
      <c r="N908"/>
      <c r="O908" s="13"/>
      <c r="P908" s="13"/>
      <c r="Q908" s="13"/>
      <c r="R908"/>
    </row>
    <row r="909" spans="1:18" ht="20.100000000000001" customHeight="1" x14ac:dyDescent="0.3">
      <c r="A909"/>
      <c r="B909"/>
      <c r="C909"/>
      <c r="D909"/>
      <c r="E909"/>
      <c r="F909"/>
      <c r="G909"/>
      <c r="H909"/>
      <c r="I909"/>
      <c r="J909"/>
      <c r="K909"/>
      <c r="L909"/>
      <c r="M909" s="18"/>
      <c r="N909"/>
      <c r="O909" s="13"/>
      <c r="P909" s="13"/>
      <c r="Q909" s="13"/>
      <c r="R909"/>
    </row>
    <row r="910" spans="1:18" ht="20.100000000000001" customHeight="1" x14ac:dyDescent="0.3">
      <c r="A910"/>
      <c r="B910"/>
      <c r="C910"/>
      <c r="D910"/>
      <c r="E910"/>
      <c r="F910"/>
      <c r="G910"/>
      <c r="H910"/>
      <c r="I910"/>
      <c r="J910"/>
      <c r="K910"/>
      <c r="L910"/>
      <c r="M910" s="18"/>
      <c r="N910"/>
      <c r="O910" s="13"/>
      <c r="P910" s="13"/>
      <c r="Q910" s="13"/>
      <c r="R910"/>
    </row>
    <row r="911" spans="1:18" ht="20.100000000000001" customHeight="1" x14ac:dyDescent="0.3">
      <c r="A911"/>
      <c r="B911"/>
      <c r="C911"/>
      <c r="D911"/>
      <c r="E911"/>
      <c r="F911"/>
      <c r="G911"/>
      <c r="H911"/>
      <c r="I911"/>
      <c r="J911"/>
      <c r="K911"/>
      <c r="L911"/>
      <c r="M911" s="18"/>
      <c r="N911"/>
      <c r="O911" s="13"/>
      <c r="P911" s="13"/>
      <c r="Q911" s="13"/>
      <c r="R911"/>
    </row>
    <row r="912" spans="1:18" ht="20.100000000000001" customHeight="1" x14ac:dyDescent="0.3">
      <c r="A912"/>
      <c r="B912"/>
      <c r="C912"/>
      <c r="D912"/>
      <c r="E912"/>
      <c r="F912"/>
      <c r="G912"/>
      <c r="H912"/>
      <c r="I912"/>
      <c r="J912"/>
      <c r="K912"/>
      <c r="L912"/>
      <c r="M912" s="18"/>
      <c r="N912"/>
      <c r="O912" s="13"/>
      <c r="P912" s="13"/>
      <c r="Q912" s="13"/>
      <c r="R912"/>
    </row>
    <row r="913" spans="1:18" ht="20.100000000000001" customHeight="1" x14ac:dyDescent="0.3">
      <c r="A913"/>
      <c r="B913"/>
      <c r="C913"/>
      <c r="D913"/>
      <c r="E913"/>
      <c r="F913"/>
      <c r="G913"/>
      <c r="H913"/>
      <c r="I913"/>
      <c r="J913"/>
      <c r="K913"/>
      <c r="L913"/>
      <c r="M913" s="18"/>
      <c r="N913"/>
      <c r="O913" s="13"/>
      <c r="P913" s="13"/>
      <c r="Q913" s="13"/>
      <c r="R913"/>
    </row>
    <row r="914" spans="1:18" ht="20.100000000000001" customHeight="1" x14ac:dyDescent="0.3">
      <c r="A914"/>
      <c r="B914"/>
      <c r="C914"/>
      <c r="D914"/>
      <c r="E914"/>
      <c r="F914"/>
      <c r="G914"/>
      <c r="H914"/>
      <c r="I914"/>
      <c r="J914"/>
      <c r="K914"/>
      <c r="L914"/>
      <c r="M914" s="18"/>
      <c r="N914"/>
      <c r="O914" s="13"/>
      <c r="P914" s="13"/>
      <c r="Q914" s="13"/>
      <c r="R914"/>
    </row>
    <row r="915" spans="1:18" ht="20.100000000000001" customHeight="1" x14ac:dyDescent="0.3">
      <c r="A915"/>
      <c r="B915"/>
      <c r="C915"/>
      <c r="D915"/>
      <c r="E915"/>
      <c r="F915"/>
      <c r="G915"/>
      <c r="H915"/>
      <c r="I915"/>
      <c r="J915"/>
      <c r="K915"/>
      <c r="L915"/>
      <c r="M915" s="18"/>
      <c r="N915"/>
      <c r="O915" s="13"/>
      <c r="P915" s="13"/>
      <c r="Q915" s="13"/>
      <c r="R915"/>
    </row>
    <row r="916" spans="1:18" ht="20.100000000000001" customHeight="1" x14ac:dyDescent="0.3">
      <c r="A916"/>
      <c r="B916"/>
      <c r="C916"/>
      <c r="D916"/>
      <c r="E916"/>
      <c r="F916"/>
      <c r="G916"/>
      <c r="H916"/>
      <c r="I916"/>
      <c r="J916"/>
      <c r="K916"/>
      <c r="L916"/>
      <c r="M916" s="18"/>
      <c r="N916"/>
      <c r="O916" s="13"/>
      <c r="P916" s="13"/>
      <c r="Q916" s="13"/>
      <c r="R916"/>
    </row>
    <row r="917" spans="1:18" ht="20.100000000000001" customHeight="1" x14ac:dyDescent="0.3">
      <c r="A917"/>
      <c r="B917"/>
      <c r="C917"/>
      <c r="D917"/>
      <c r="E917"/>
      <c r="F917"/>
      <c r="G917"/>
      <c r="H917"/>
      <c r="I917"/>
      <c r="J917"/>
      <c r="K917"/>
      <c r="L917"/>
      <c r="M917" s="18"/>
      <c r="N917"/>
      <c r="O917" s="13"/>
      <c r="P917" s="13"/>
      <c r="Q917" s="13"/>
      <c r="R917"/>
    </row>
    <row r="918" spans="1:18" ht="20.100000000000001" customHeight="1" x14ac:dyDescent="0.3">
      <c r="A918"/>
      <c r="B918"/>
      <c r="C918"/>
      <c r="D918"/>
      <c r="E918"/>
      <c r="F918"/>
      <c r="G918"/>
      <c r="H918"/>
      <c r="I918"/>
      <c r="J918"/>
      <c r="K918"/>
      <c r="L918"/>
      <c r="M918" s="18"/>
      <c r="N918"/>
      <c r="O918" s="13"/>
      <c r="P918" s="13"/>
      <c r="Q918" s="13"/>
      <c r="R918"/>
    </row>
    <row r="919" spans="1:18" ht="20.100000000000001" customHeight="1" x14ac:dyDescent="0.3">
      <c r="A919"/>
      <c r="B919"/>
      <c r="C919"/>
      <c r="D919"/>
      <c r="E919"/>
      <c r="F919"/>
      <c r="G919"/>
      <c r="H919"/>
      <c r="I919"/>
      <c r="J919"/>
      <c r="K919"/>
      <c r="L919"/>
      <c r="M919" s="18"/>
      <c r="N919"/>
      <c r="O919" s="13"/>
      <c r="P919" s="13"/>
      <c r="Q919" s="13"/>
      <c r="R919"/>
    </row>
    <row r="920" spans="1:18" ht="20.100000000000001" customHeight="1" x14ac:dyDescent="0.3">
      <c r="A920"/>
      <c r="B920"/>
      <c r="C920"/>
      <c r="D920"/>
      <c r="E920"/>
      <c r="F920"/>
      <c r="G920"/>
      <c r="H920"/>
      <c r="I920"/>
      <c r="J920"/>
      <c r="K920"/>
      <c r="L920"/>
      <c r="M920" s="18"/>
      <c r="N920"/>
      <c r="O920" s="13"/>
      <c r="P920" s="13"/>
      <c r="Q920" s="13"/>
      <c r="R920"/>
    </row>
    <row r="921" spans="1:18" ht="20.100000000000001" customHeight="1" x14ac:dyDescent="0.3">
      <c r="A921"/>
      <c r="B921"/>
      <c r="C921"/>
      <c r="D921"/>
      <c r="E921"/>
      <c r="F921"/>
      <c r="G921"/>
      <c r="H921"/>
      <c r="I921"/>
      <c r="J921"/>
      <c r="K921"/>
      <c r="L921"/>
      <c r="M921" s="18"/>
      <c r="N921"/>
      <c r="O921" s="13"/>
      <c r="P921" s="13"/>
      <c r="Q921" s="13"/>
      <c r="R921"/>
    </row>
    <row r="922" spans="1:18" ht="20.100000000000001" customHeight="1" x14ac:dyDescent="0.3">
      <c r="A922"/>
      <c r="B922"/>
      <c r="C922"/>
      <c r="D922"/>
      <c r="E922"/>
      <c r="F922"/>
      <c r="G922"/>
      <c r="H922"/>
      <c r="I922"/>
      <c r="J922"/>
      <c r="K922"/>
      <c r="L922"/>
      <c r="M922" s="18"/>
      <c r="N922"/>
      <c r="O922" s="13"/>
      <c r="P922" s="13"/>
      <c r="Q922" s="13"/>
      <c r="R922"/>
    </row>
    <row r="923" spans="1:18" ht="20.100000000000001" customHeight="1" x14ac:dyDescent="0.3">
      <c r="A923"/>
      <c r="B923"/>
      <c r="C923"/>
      <c r="D923"/>
      <c r="E923"/>
      <c r="F923"/>
      <c r="G923"/>
      <c r="H923"/>
      <c r="I923"/>
      <c r="J923"/>
      <c r="K923"/>
      <c r="L923"/>
      <c r="M923" s="18"/>
      <c r="N923"/>
      <c r="O923" s="13"/>
      <c r="P923" s="13"/>
      <c r="Q923" s="13"/>
      <c r="R923"/>
    </row>
    <row r="924" spans="1:18" ht="20.100000000000001" customHeight="1" x14ac:dyDescent="0.3">
      <c r="A924"/>
      <c r="B924"/>
      <c r="C924"/>
      <c r="D924"/>
      <c r="E924"/>
      <c r="F924"/>
      <c r="G924"/>
      <c r="H924"/>
      <c r="I924"/>
      <c r="J924"/>
      <c r="K924"/>
      <c r="L924"/>
      <c r="M924" s="18"/>
      <c r="N924"/>
      <c r="O924" s="13"/>
      <c r="P924" s="13"/>
      <c r="Q924" s="13"/>
      <c r="R924"/>
    </row>
    <row r="925" spans="1:18" ht="20.100000000000001" customHeight="1" x14ac:dyDescent="0.3">
      <c r="A925"/>
      <c r="B925"/>
      <c r="C925"/>
      <c r="D925"/>
      <c r="E925"/>
      <c r="F925"/>
      <c r="G925"/>
      <c r="H925"/>
      <c r="I925"/>
      <c r="J925"/>
      <c r="K925"/>
      <c r="L925"/>
      <c r="M925" s="18"/>
      <c r="N925"/>
      <c r="O925" s="13"/>
      <c r="P925" s="13"/>
      <c r="Q925" s="13"/>
      <c r="R925"/>
    </row>
    <row r="926" spans="1:18" ht="20.100000000000001" customHeight="1" x14ac:dyDescent="0.3">
      <c r="A926"/>
      <c r="B926"/>
      <c r="C926"/>
      <c r="D926"/>
      <c r="E926"/>
      <c r="F926"/>
      <c r="G926"/>
      <c r="H926"/>
      <c r="I926"/>
      <c r="J926"/>
      <c r="K926"/>
      <c r="L926"/>
      <c r="M926" s="18"/>
      <c r="N926"/>
      <c r="O926" s="13"/>
      <c r="P926" s="13"/>
      <c r="Q926" s="13"/>
      <c r="R926"/>
    </row>
    <row r="927" spans="1:18" ht="20.100000000000001" customHeight="1" x14ac:dyDescent="0.3">
      <c r="A927"/>
      <c r="B927"/>
      <c r="C927"/>
      <c r="D927"/>
      <c r="E927"/>
      <c r="F927"/>
      <c r="G927"/>
      <c r="H927"/>
      <c r="I927"/>
      <c r="J927"/>
      <c r="K927"/>
      <c r="L927"/>
      <c r="M927" s="18"/>
      <c r="N927"/>
      <c r="O927" s="13"/>
      <c r="P927" s="13"/>
      <c r="Q927" s="13"/>
      <c r="R927"/>
    </row>
    <row r="928" spans="1:18" ht="20.100000000000001" customHeight="1" x14ac:dyDescent="0.3">
      <c r="A928"/>
      <c r="B928"/>
      <c r="C928"/>
      <c r="D928"/>
      <c r="E928"/>
      <c r="F928"/>
      <c r="G928"/>
      <c r="H928"/>
      <c r="I928"/>
      <c r="J928"/>
      <c r="K928"/>
      <c r="L928"/>
      <c r="M928" s="18"/>
      <c r="N928"/>
      <c r="O928" s="13"/>
      <c r="P928" s="13"/>
      <c r="Q928" s="13"/>
      <c r="R928"/>
    </row>
    <row r="929" spans="1:18" ht="20.100000000000001" customHeight="1" x14ac:dyDescent="0.3">
      <c r="A929"/>
      <c r="B929"/>
      <c r="C929"/>
      <c r="D929"/>
      <c r="E929"/>
      <c r="F929"/>
      <c r="G929"/>
      <c r="H929"/>
      <c r="I929"/>
      <c r="J929"/>
      <c r="K929"/>
      <c r="L929"/>
      <c r="M929" s="18"/>
      <c r="N929"/>
      <c r="O929" s="13"/>
      <c r="P929" s="13"/>
      <c r="Q929" s="13"/>
      <c r="R929"/>
    </row>
    <row r="930" spans="1:18" ht="20.100000000000001" customHeight="1" x14ac:dyDescent="0.3">
      <c r="A930"/>
      <c r="B930"/>
      <c r="C930"/>
      <c r="D930"/>
      <c r="E930"/>
      <c r="F930"/>
      <c r="G930"/>
      <c r="H930"/>
      <c r="I930"/>
      <c r="J930"/>
      <c r="K930"/>
      <c r="L930"/>
      <c r="M930" s="18"/>
      <c r="N930"/>
      <c r="O930" s="13"/>
      <c r="P930" s="13"/>
      <c r="Q930" s="13"/>
      <c r="R930"/>
    </row>
    <row r="931" spans="1:18" ht="20.100000000000001" customHeight="1" x14ac:dyDescent="0.3">
      <c r="A931"/>
      <c r="B931"/>
      <c r="C931"/>
      <c r="D931"/>
      <c r="E931"/>
      <c r="F931"/>
      <c r="G931"/>
      <c r="H931"/>
      <c r="I931"/>
      <c r="J931"/>
      <c r="K931"/>
      <c r="L931"/>
      <c r="M931" s="18"/>
      <c r="N931"/>
      <c r="O931" s="13"/>
      <c r="P931" s="13"/>
      <c r="Q931" s="13"/>
      <c r="R931"/>
    </row>
    <row r="932" spans="1:18" ht="20.100000000000001" customHeight="1" x14ac:dyDescent="0.3">
      <c r="A932"/>
      <c r="B932"/>
      <c r="C932"/>
      <c r="D932"/>
      <c r="E932"/>
      <c r="F932"/>
      <c r="G932"/>
      <c r="H932"/>
      <c r="I932"/>
      <c r="J932"/>
      <c r="K932"/>
      <c r="L932"/>
      <c r="M932" s="18"/>
      <c r="N932"/>
      <c r="O932" s="13"/>
      <c r="P932" s="13"/>
      <c r="Q932" s="13"/>
      <c r="R932"/>
    </row>
    <row r="933" spans="1:18" ht="20.100000000000001" customHeight="1" x14ac:dyDescent="0.3">
      <c r="A933"/>
      <c r="B933"/>
      <c r="C933"/>
      <c r="D933"/>
      <c r="E933"/>
      <c r="F933"/>
      <c r="G933"/>
      <c r="H933"/>
      <c r="I933"/>
      <c r="J933"/>
      <c r="K933"/>
      <c r="L933"/>
      <c r="M933" s="18"/>
      <c r="N933"/>
      <c r="O933" s="13"/>
      <c r="P933" s="13"/>
      <c r="Q933" s="13"/>
      <c r="R933"/>
    </row>
    <row r="934" spans="1:18" ht="20.100000000000001" customHeight="1" x14ac:dyDescent="0.3">
      <c r="A934"/>
      <c r="B934"/>
      <c r="C934"/>
      <c r="D934"/>
      <c r="E934"/>
      <c r="F934"/>
      <c r="G934"/>
      <c r="H934"/>
      <c r="I934"/>
      <c r="J934"/>
      <c r="K934"/>
      <c r="L934"/>
      <c r="M934" s="18"/>
      <c r="N934"/>
      <c r="O934" s="13"/>
      <c r="P934" s="13"/>
      <c r="Q934" s="13"/>
      <c r="R934"/>
    </row>
    <row r="935" spans="1:18" ht="20.100000000000001" customHeight="1" x14ac:dyDescent="0.3">
      <c r="A935"/>
      <c r="B935"/>
      <c r="C935"/>
      <c r="D935"/>
      <c r="E935"/>
      <c r="F935"/>
      <c r="G935"/>
      <c r="H935"/>
      <c r="I935"/>
      <c r="J935"/>
      <c r="K935"/>
      <c r="L935"/>
      <c r="M935" s="18"/>
      <c r="N935"/>
      <c r="O935" s="13"/>
      <c r="P935" s="13"/>
      <c r="Q935" s="13"/>
      <c r="R935"/>
    </row>
    <row r="936" spans="1:18" ht="20.100000000000001" customHeight="1" x14ac:dyDescent="0.3">
      <c r="A936"/>
      <c r="B936"/>
      <c r="C936"/>
      <c r="D936"/>
      <c r="E936"/>
      <c r="F936"/>
      <c r="G936"/>
      <c r="H936"/>
      <c r="I936"/>
      <c r="J936"/>
      <c r="K936"/>
      <c r="L936"/>
      <c r="M936" s="18"/>
      <c r="N936"/>
      <c r="O936" s="13"/>
      <c r="P936" s="13"/>
      <c r="Q936" s="13"/>
      <c r="R936"/>
    </row>
    <row r="937" spans="1:18" ht="20.100000000000001" customHeight="1" x14ac:dyDescent="0.3">
      <c r="A937"/>
      <c r="B937"/>
      <c r="C937"/>
      <c r="D937"/>
      <c r="E937"/>
      <c r="F937"/>
      <c r="G937"/>
      <c r="H937"/>
      <c r="I937"/>
      <c r="J937"/>
      <c r="K937"/>
      <c r="L937"/>
      <c r="M937" s="18"/>
      <c r="N937"/>
      <c r="O937" s="13"/>
      <c r="P937" s="13"/>
      <c r="Q937" s="13"/>
      <c r="R937"/>
    </row>
    <row r="938" spans="1:18" ht="20.100000000000001" customHeight="1" x14ac:dyDescent="0.3">
      <c r="A938"/>
      <c r="B938"/>
      <c r="C938"/>
      <c r="D938"/>
      <c r="E938"/>
      <c r="F938"/>
      <c r="G938"/>
      <c r="H938"/>
      <c r="I938"/>
      <c r="J938"/>
      <c r="K938"/>
      <c r="L938"/>
      <c r="M938" s="18"/>
      <c r="N938"/>
      <c r="O938" s="13"/>
      <c r="P938" s="13"/>
      <c r="Q938" s="13"/>
      <c r="R938"/>
    </row>
    <row r="939" spans="1:18" ht="20.100000000000001" customHeight="1" x14ac:dyDescent="0.3">
      <c r="A939"/>
      <c r="B939"/>
      <c r="C939"/>
      <c r="D939"/>
      <c r="E939"/>
      <c r="F939"/>
      <c r="G939"/>
      <c r="H939"/>
      <c r="I939"/>
      <c r="J939"/>
      <c r="K939"/>
      <c r="L939"/>
      <c r="M939" s="18"/>
      <c r="N939"/>
      <c r="O939" s="13"/>
      <c r="P939" s="13"/>
      <c r="Q939" s="13"/>
      <c r="R939"/>
    </row>
    <row r="940" spans="1:18" ht="20.100000000000001" customHeight="1" x14ac:dyDescent="0.3">
      <c r="A940"/>
      <c r="B940"/>
      <c r="C940"/>
      <c r="D940"/>
      <c r="E940"/>
      <c r="F940"/>
      <c r="G940"/>
      <c r="H940"/>
      <c r="I940"/>
      <c r="J940"/>
      <c r="K940"/>
      <c r="L940"/>
      <c r="M940" s="18"/>
      <c r="N940"/>
      <c r="O940" s="13"/>
      <c r="P940" s="13"/>
      <c r="Q940" s="13"/>
      <c r="R940"/>
    </row>
    <row r="941" spans="1:18" ht="20.100000000000001" customHeight="1" x14ac:dyDescent="0.3">
      <c r="A941"/>
      <c r="B941"/>
      <c r="C941"/>
      <c r="D941"/>
      <c r="E941"/>
      <c r="F941"/>
      <c r="G941"/>
      <c r="H941"/>
      <c r="I941"/>
      <c r="J941"/>
      <c r="K941"/>
      <c r="L941"/>
      <c r="M941" s="18"/>
      <c r="N941"/>
      <c r="O941" s="13"/>
      <c r="P941" s="13"/>
      <c r="Q941" s="13"/>
      <c r="R941"/>
    </row>
    <row r="942" spans="1:18" ht="20.100000000000001" customHeight="1" x14ac:dyDescent="0.3">
      <c r="A942"/>
      <c r="B942"/>
      <c r="C942"/>
      <c r="D942"/>
      <c r="E942"/>
      <c r="F942"/>
      <c r="G942"/>
      <c r="H942"/>
      <c r="I942"/>
      <c r="J942"/>
      <c r="K942"/>
      <c r="L942"/>
      <c r="M942" s="18"/>
      <c r="N942"/>
      <c r="O942" s="13"/>
      <c r="P942" s="13"/>
      <c r="Q942" s="13"/>
      <c r="R942"/>
    </row>
    <row r="943" spans="1:18" ht="20.100000000000001" customHeight="1" x14ac:dyDescent="0.3">
      <c r="A943"/>
      <c r="B943"/>
      <c r="C943"/>
      <c r="D943"/>
      <c r="E943"/>
      <c r="F943"/>
      <c r="G943"/>
      <c r="H943"/>
      <c r="I943"/>
      <c r="J943"/>
      <c r="K943"/>
      <c r="L943"/>
      <c r="M943" s="18"/>
      <c r="N943"/>
      <c r="O943" s="13"/>
      <c r="P943" s="13"/>
      <c r="Q943" s="13"/>
      <c r="R943"/>
    </row>
    <row r="944" spans="1:18" ht="20.100000000000001" customHeight="1" x14ac:dyDescent="0.3">
      <c r="A944"/>
      <c r="B944"/>
      <c r="C944"/>
      <c r="D944"/>
      <c r="E944"/>
      <c r="F944"/>
      <c r="G944"/>
      <c r="H944"/>
      <c r="I944"/>
      <c r="J944"/>
      <c r="K944"/>
      <c r="L944"/>
      <c r="M944" s="18"/>
      <c r="N944"/>
      <c r="O944" s="13"/>
      <c r="P944" s="13"/>
      <c r="Q944" s="13"/>
      <c r="R944"/>
    </row>
    <row r="945" spans="1:18" ht="20.100000000000001" customHeight="1" x14ac:dyDescent="0.3">
      <c r="A945"/>
      <c r="B945"/>
      <c r="C945"/>
      <c r="D945"/>
      <c r="E945"/>
      <c r="F945"/>
      <c r="G945"/>
      <c r="H945"/>
      <c r="I945"/>
      <c r="J945"/>
      <c r="K945"/>
      <c r="L945"/>
      <c r="M945" s="18"/>
      <c r="N945"/>
      <c r="O945" s="13"/>
      <c r="P945" s="13"/>
      <c r="Q945" s="13"/>
      <c r="R945"/>
    </row>
    <row r="946" spans="1:18" ht="20.100000000000001" customHeight="1" x14ac:dyDescent="0.3">
      <c r="A946"/>
      <c r="B946"/>
      <c r="C946"/>
      <c r="D946"/>
      <c r="E946"/>
      <c r="F946"/>
      <c r="G946"/>
      <c r="H946"/>
      <c r="I946"/>
      <c r="J946"/>
      <c r="K946"/>
      <c r="L946"/>
      <c r="M946" s="18"/>
      <c r="N946"/>
      <c r="O946" s="13"/>
      <c r="P946" s="13"/>
      <c r="Q946" s="13"/>
      <c r="R946"/>
    </row>
    <row r="947" spans="1:18" ht="20.100000000000001" customHeight="1" x14ac:dyDescent="0.3">
      <c r="A947"/>
      <c r="B947"/>
      <c r="C947"/>
      <c r="D947"/>
      <c r="E947"/>
      <c r="F947"/>
      <c r="G947"/>
      <c r="H947"/>
      <c r="I947"/>
      <c r="J947"/>
      <c r="K947"/>
      <c r="L947"/>
      <c r="M947" s="18"/>
      <c r="N947"/>
      <c r="O947" s="13"/>
      <c r="P947" s="13"/>
      <c r="Q947" s="13"/>
      <c r="R947"/>
    </row>
    <row r="948" spans="1:18" ht="20.100000000000001" customHeight="1" x14ac:dyDescent="0.3">
      <c r="A948"/>
      <c r="B948"/>
      <c r="C948"/>
      <c r="D948"/>
      <c r="E948"/>
      <c r="F948"/>
      <c r="G948"/>
      <c r="H948"/>
      <c r="I948"/>
      <c r="J948"/>
      <c r="K948"/>
      <c r="L948"/>
      <c r="M948" s="18"/>
      <c r="N948"/>
      <c r="O948" s="13"/>
      <c r="P948" s="13"/>
      <c r="Q948" s="13"/>
      <c r="R948"/>
    </row>
    <row r="949" spans="1:18" ht="20.100000000000001" customHeight="1" x14ac:dyDescent="0.3">
      <c r="A949"/>
      <c r="B949"/>
      <c r="C949"/>
      <c r="D949"/>
      <c r="E949"/>
      <c r="F949"/>
      <c r="G949"/>
      <c r="H949"/>
      <c r="I949"/>
      <c r="J949"/>
      <c r="K949"/>
      <c r="L949"/>
      <c r="M949" s="18"/>
      <c r="N949"/>
      <c r="O949" s="13"/>
      <c r="P949" s="13"/>
      <c r="Q949" s="13"/>
      <c r="R949"/>
    </row>
    <row r="950" spans="1:18" ht="20.100000000000001" customHeight="1" x14ac:dyDescent="0.3">
      <c r="A950"/>
      <c r="B950"/>
      <c r="C950"/>
      <c r="D950"/>
      <c r="E950"/>
      <c r="F950"/>
      <c r="G950"/>
      <c r="H950"/>
      <c r="I950"/>
      <c r="J950"/>
      <c r="K950"/>
      <c r="L950"/>
      <c r="M950" s="18"/>
      <c r="N950"/>
      <c r="O950" s="13"/>
      <c r="P950" s="13"/>
      <c r="Q950" s="13"/>
      <c r="R950"/>
    </row>
    <row r="951" spans="1:18" ht="20.100000000000001" customHeight="1" x14ac:dyDescent="0.3">
      <c r="A951"/>
      <c r="B951"/>
      <c r="C951"/>
      <c r="D951"/>
      <c r="E951"/>
      <c r="F951"/>
      <c r="G951"/>
      <c r="H951"/>
      <c r="I951"/>
      <c r="J951"/>
      <c r="K951"/>
      <c r="L951"/>
      <c r="M951" s="18"/>
      <c r="N951"/>
      <c r="O951" s="13"/>
      <c r="P951" s="13"/>
      <c r="Q951" s="13"/>
      <c r="R951"/>
    </row>
    <row r="952" spans="1:18" ht="20.100000000000001" customHeight="1" x14ac:dyDescent="0.3">
      <c r="A952"/>
      <c r="B952"/>
      <c r="C952"/>
      <c r="D952"/>
      <c r="E952"/>
      <c r="F952"/>
      <c r="G952"/>
      <c r="H952"/>
      <c r="I952"/>
      <c r="J952"/>
      <c r="K952"/>
      <c r="L952"/>
      <c r="M952" s="18"/>
      <c r="N952"/>
      <c r="O952" s="13"/>
      <c r="P952" s="13"/>
      <c r="Q952" s="13"/>
      <c r="R952"/>
    </row>
    <row r="953" spans="1:18" ht="20.100000000000001" customHeight="1" x14ac:dyDescent="0.3">
      <c r="A953"/>
      <c r="B953"/>
      <c r="C953"/>
      <c r="D953"/>
      <c r="E953"/>
      <c r="F953"/>
      <c r="G953"/>
      <c r="H953"/>
      <c r="I953"/>
      <c r="J953"/>
      <c r="K953"/>
      <c r="L953"/>
      <c r="M953" s="18"/>
      <c r="N953"/>
      <c r="O953" s="13"/>
      <c r="P953" s="13"/>
      <c r="Q953" s="13"/>
      <c r="R953"/>
    </row>
    <row r="954" spans="1:18" ht="20.100000000000001" customHeight="1" x14ac:dyDescent="0.3">
      <c r="A954"/>
      <c r="B954"/>
      <c r="C954"/>
      <c r="D954"/>
      <c r="E954"/>
      <c r="F954"/>
      <c r="G954"/>
      <c r="H954"/>
      <c r="I954"/>
      <c r="J954"/>
      <c r="K954"/>
      <c r="L954"/>
      <c r="M954" s="18"/>
      <c r="N954"/>
      <c r="O954" s="13"/>
      <c r="P954" s="13"/>
      <c r="Q954" s="13"/>
      <c r="R954"/>
    </row>
    <row r="955" spans="1:18" ht="20.100000000000001" customHeight="1" x14ac:dyDescent="0.3">
      <c r="A955"/>
      <c r="B955"/>
      <c r="C955"/>
      <c r="D955"/>
      <c r="E955"/>
      <c r="F955"/>
      <c r="G955"/>
      <c r="H955"/>
      <c r="I955"/>
      <c r="J955"/>
      <c r="K955"/>
      <c r="L955"/>
      <c r="M955" s="18"/>
      <c r="N955"/>
      <c r="O955" s="13"/>
      <c r="P955" s="13"/>
      <c r="Q955" s="13"/>
      <c r="R955"/>
    </row>
    <row r="956" spans="1:18" ht="20.100000000000001" customHeight="1" x14ac:dyDescent="0.3">
      <c r="A956"/>
      <c r="B956"/>
      <c r="C956"/>
      <c r="D956"/>
      <c r="E956"/>
      <c r="F956"/>
      <c r="G956"/>
      <c r="H956"/>
      <c r="I956"/>
      <c r="J956"/>
      <c r="K956"/>
      <c r="L956"/>
      <c r="M956" s="18"/>
      <c r="N956"/>
      <c r="O956" s="13"/>
      <c r="P956" s="13"/>
      <c r="Q956" s="13"/>
      <c r="R956"/>
    </row>
    <row r="957" spans="1:18" ht="20.100000000000001" customHeight="1" x14ac:dyDescent="0.3">
      <c r="A957"/>
      <c r="B957"/>
      <c r="C957"/>
      <c r="D957"/>
      <c r="E957"/>
      <c r="F957"/>
      <c r="G957"/>
      <c r="H957"/>
      <c r="I957"/>
      <c r="J957"/>
      <c r="K957"/>
      <c r="L957"/>
      <c r="M957" s="18"/>
      <c r="N957"/>
      <c r="O957" s="13"/>
      <c r="P957" s="13"/>
      <c r="Q957" s="13"/>
      <c r="R957"/>
    </row>
    <row r="958" spans="1:18" ht="20.100000000000001" customHeight="1" x14ac:dyDescent="0.3">
      <c r="A958"/>
      <c r="B958"/>
      <c r="C958"/>
      <c r="D958"/>
      <c r="E958"/>
      <c r="F958"/>
      <c r="G958"/>
      <c r="H958"/>
      <c r="I958"/>
      <c r="J958"/>
      <c r="K958"/>
      <c r="L958"/>
      <c r="M958" s="18"/>
      <c r="N958"/>
      <c r="O958" s="13"/>
      <c r="P958" s="13"/>
      <c r="Q958" s="13"/>
      <c r="R958"/>
    </row>
    <row r="959" spans="1:18" ht="20.100000000000001" customHeight="1" x14ac:dyDescent="0.3">
      <c r="A959"/>
      <c r="B959"/>
      <c r="C959"/>
      <c r="D959"/>
      <c r="E959"/>
      <c r="F959"/>
      <c r="G959"/>
      <c r="H959"/>
      <c r="I959"/>
      <c r="J959"/>
      <c r="K959"/>
      <c r="L959"/>
      <c r="M959" s="18"/>
      <c r="N959"/>
      <c r="O959" s="13"/>
      <c r="P959" s="13"/>
      <c r="Q959" s="13"/>
      <c r="R959"/>
    </row>
    <row r="960" spans="1:18" ht="20.100000000000001" customHeight="1" x14ac:dyDescent="0.3">
      <c r="A960"/>
      <c r="B960"/>
      <c r="C960"/>
      <c r="D960"/>
      <c r="E960"/>
      <c r="F960"/>
      <c r="G960"/>
      <c r="H960"/>
      <c r="I960"/>
      <c r="J960"/>
      <c r="K960"/>
      <c r="L960"/>
      <c r="M960" s="18"/>
      <c r="N960"/>
      <c r="O960" s="13"/>
      <c r="P960" s="13"/>
      <c r="Q960" s="13"/>
      <c r="R960"/>
    </row>
    <row r="961" spans="1:18" ht="20.100000000000001" customHeight="1" x14ac:dyDescent="0.3">
      <c r="A961"/>
      <c r="B961"/>
      <c r="C961"/>
      <c r="D961"/>
      <c r="E961"/>
      <c r="F961"/>
      <c r="G961"/>
      <c r="H961"/>
      <c r="I961"/>
      <c r="J961"/>
      <c r="K961"/>
      <c r="L961"/>
      <c r="M961" s="18"/>
      <c r="N961"/>
      <c r="O961" s="13"/>
      <c r="P961" s="13"/>
      <c r="Q961" s="13"/>
      <c r="R961"/>
    </row>
    <row r="962" spans="1:18" ht="20.100000000000001" customHeight="1" x14ac:dyDescent="0.3">
      <c r="A962"/>
      <c r="B962"/>
      <c r="C962"/>
      <c r="D962"/>
      <c r="E962"/>
      <c r="F962"/>
      <c r="G962"/>
      <c r="H962"/>
      <c r="I962"/>
      <c r="J962"/>
      <c r="K962"/>
      <c r="L962"/>
      <c r="M962" s="18"/>
      <c r="N962"/>
      <c r="O962" s="13"/>
      <c r="P962" s="13"/>
      <c r="Q962" s="13"/>
      <c r="R962"/>
    </row>
    <row r="963" spans="1:18" ht="20.100000000000001" customHeight="1" x14ac:dyDescent="0.3">
      <c r="A963"/>
      <c r="B963"/>
      <c r="C963"/>
      <c r="D963"/>
      <c r="E963"/>
      <c r="F963"/>
      <c r="G963"/>
      <c r="H963"/>
      <c r="I963"/>
      <c r="J963"/>
      <c r="K963"/>
      <c r="L963"/>
      <c r="M963" s="18"/>
      <c r="N963"/>
      <c r="O963" s="13"/>
      <c r="P963" s="13"/>
      <c r="Q963" s="13"/>
      <c r="R963"/>
    </row>
    <row r="964" spans="1:18" ht="20.100000000000001" customHeight="1" x14ac:dyDescent="0.3">
      <c r="A964"/>
      <c r="B964"/>
      <c r="C964"/>
      <c r="D964"/>
      <c r="E964"/>
      <c r="F964"/>
      <c r="G964"/>
      <c r="H964"/>
      <c r="I964"/>
      <c r="J964"/>
      <c r="K964"/>
      <c r="L964"/>
      <c r="M964" s="18"/>
      <c r="N964"/>
      <c r="O964" s="13"/>
      <c r="P964" s="13"/>
      <c r="Q964" s="13"/>
      <c r="R964"/>
    </row>
    <row r="965" spans="1:18" ht="20.100000000000001" customHeight="1" x14ac:dyDescent="0.3">
      <c r="A965"/>
      <c r="B965"/>
      <c r="C965"/>
      <c r="D965"/>
      <c r="E965"/>
      <c r="F965"/>
      <c r="G965"/>
      <c r="H965"/>
      <c r="I965"/>
      <c r="J965"/>
      <c r="K965"/>
      <c r="L965"/>
      <c r="M965" s="18"/>
      <c r="N965"/>
      <c r="O965" s="13"/>
      <c r="P965" s="13"/>
      <c r="Q965" s="13"/>
      <c r="R965"/>
    </row>
    <row r="966" spans="1:18" ht="20.100000000000001" customHeight="1" x14ac:dyDescent="0.3">
      <c r="A966"/>
      <c r="B966"/>
      <c r="C966"/>
      <c r="D966"/>
      <c r="E966"/>
      <c r="F966"/>
      <c r="G966"/>
      <c r="H966"/>
      <c r="I966"/>
      <c r="J966"/>
      <c r="K966"/>
      <c r="L966"/>
      <c r="M966" s="18"/>
      <c r="N966"/>
      <c r="O966" s="13"/>
      <c r="P966" s="13"/>
      <c r="Q966" s="13"/>
      <c r="R966"/>
    </row>
    <row r="967" spans="1:18" ht="20.100000000000001" customHeight="1" x14ac:dyDescent="0.3">
      <c r="A967"/>
      <c r="B967"/>
      <c r="C967"/>
      <c r="D967"/>
      <c r="E967"/>
      <c r="F967"/>
      <c r="G967"/>
      <c r="H967"/>
      <c r="I967"/>
      <c r="J967"/>
      <c r="K967"/>
      <c r="L967"/>
      <c r="M967" s="18"/>
      <c r="N967"/>
      <c r="O967" s="13"/>
      <c r="P967" s="13"/>
      <c r="Q967" s="13"/>
      <c r="R967"/>
    </row>
    <row r="968" spans="1:18" ht="20.100000000000001" customHeight="1" x14ac:dyDescent="0.3">
      <c r="A968"/>
      <c r="B968"/>
      <c r="C968"/>
      <c r="D968"/>
      <c r="E968"/>
      <c r="F968"/>
      <c r="G968"/>
      <c r="H968"/>
      <c r="I968"/>
      <c r="J968"/>
      <c r="K968"/>
      <c r="L968"/>
      <c r="M968" s="18"/>
      <c r="N968"/>
      <c r="O968" s="13"/>
      <c r="P968" s="13"/>
      <c r="Q968" s="13"/>
      <c r="R968"/>
    </row>
    <row r="969" spans="1:18" ht="20.100000000000001" customHeight="1" x14ac:dyDescent="0.3">
      <c r="A969"/>
      <c r="B969"/>
      <c r="C969"/>
      <c r="D969"/>
      <c r="E969"/>
      <c r="F969"/>
      <c r="G969"/>
      <c r="H969"/>
      <c r="I969"/>
      <c r="J969"/>
      <c r="K969"/>
      <c r="L969"/>
      <c r="M969" s="18"/>
      <c r="N969"/>
      <c r="O969" s="13"/>
      <c r="P969" s="13"/>
      <c r="Q969" s="13"/>
      <c r="R969"/>
    </row>
    <row r="970" spans="1:18" ht="20.100000000000001" customHeight="1" x14ac:dyDescent="0.3">
      <c r="A970"/>
      <c r="B970"/>
      <c r="C970"/>
      <c r="D970"/>
      <c r="E970"/>
      <c r="F970"/>
      <c r="G970"/>
      <c r="H970"/>
      <c r="I970"/>
      <c r="J970"/>
      <c r="K970"/>
      <c r="L970"/>
      <c r="M970" s="18"/>
      <c r="N970"/>
      <c r="O970" s="13"/>
      <c r="P970" s="13"/>
      <c r="Q970" s="13"/>
      <c r="R970"/>
    </row>
    <row r="971" spans="1:18" ht="20.100000000000001" customHeight="1" x14ac:dyDescent="0.3">
      <c r="A971"/>
      <c r="B971"/>
      <c r="C971"/>
      <c r="D971"/>
      <c r="E971"/>
      <c r="F971"/>
      <c r="G971"/>
      <c r="H971"/>
      <c r="I971"/>
      <c r="J971"/>
      <c r="K971"/>
      <c r="L971"/>
      <c r="M971" s="18"/>
      <c r="N971"/>
      <c r="O971" s="13"/>
      <c r="P971" s="13"/>
      <c r="Q971" s="13"/>
      <c r="R971"/>
    </row>
    <row r="972" spans="1:18" ht="20.100000000000001" customHeight="1" x14ac:dyDescent="0.3">
      <c r="A972"/>
      <c r="B972"/>
      <c r="C972"/>
      <c r="D972"/>
      <c r="E972"/>
      <c r="F972"/>
      <c r="G972"/>
      <c r="H972"/>
      <c r="I972"/>
      <c r="J972"/>
      <c r="K972"/>
      <c r="L972"/>
      <c r="M972" s="18"/>
      <c r="N972"/>
      <c r="O972" s="13"/>
      <c r="P972" s="13"/>
      <c r="Q972" s="13"/>
      <c r="R972"/>
    </row>
    <row r="973" spans="1:18" ht="20.100000000000001" customHeight="1" x14ac:dyDescent="0.3">
      <c r="A973"/>
      <c r="B973"/>
      <c r="C973"/>
      <c r="D973"/>
      <c r="E973"/>
      <c r="F973"/>
      <c r="G973"/>
      <c r="H973"/>
      <c r="I973"/>
      <c r="J973"/>
      <c r="K973"/>
      <c r="L973"/>
      <c r="M973" s="18"/>
      <c r="N973"/>
      <c r="O973" s="13"/>
      <c r="P973" s="13"/>
      <c r="Q973" s="13"/>
      <c r="R973"/>
    </row>
    <row r="974" spans="1:18" ht="20.100000000000001" customHeight="1" x14ac:dyDescent="0.3">
      <c r="A974"/>
      <c r="B974"/>
      <c r="C974"/>
      <c r="D974"/>
      <c r="E974"/>
      <c r="F974"/>
      <c r="G974"/>
      <c r="H974"/>
      <c r="I974"/>
      <c r="J974"/>
      <c r="K974"/>
      <c r="L974"/>
      <c r="M974" s="18"/>
      <c r="N974"/>
      <c r="O974" s="13"/>
      <c r="P974" s="13"/>
      <c r="Q974" s="13"/>
      <c r="R974"/>
    </row>
    <row r="975" spans="1:18" ht="20.100000000000001" customHeight="1" x14ac:dyDescent="0.3">
      <c r="A975"/>
      <c r="B975"/>
      <c r="C975"/>
      <c r="D975"/>
      <c r="E975"/>
      <c r="F975"/>
      <c r="G975"/>
      <c r="H975"/>
      <c r="I975"/>
      <c r="J975"/>
      <c r="K975"/>
      <c r="L975"/>
      <c r="M975" s="18"/>
      <c r="N975"/>
      <c r="O975" s="13"/>
      <c r="P975" s="13"/>
      <c r="Q975" s="13"/>
      <c r="R975"/>
    </row>
    <row r="976" spans="1:18" ht="20.100000000000001" customHeight="1" x14ac:dyDescent="0.3">
      <c r="A976"/>
      <c r="B976"/>
      <c r="C976"/>
      <c r="D976"/>
      <c r="E976"/>
      <c r="F976"/>
      <c r="G976"/>
      <c r="H976"/>
      <c r="I976"/>
      <c r="J976"/>
      <c r="K976"/>
      <c r="L976"/>
      <c r="M976" s="18"/>
      <c r="N976"/>
      <c r="O976" s="13"/>
      <c r="P976" s="13"/>
      <c r="Q976" s="13"/>
      <c r="R976"/>
    </row>
    <row r="977" spans="1:18" ht="20.100000000000001" customHeight="1" x14ac:dyDescent="0.3">
      <c r="A977"/>
      <c r="B977"/>
      <c r="C977"/>
      <c r="D977"/>
      <c r="E977"/>
      <c r="F977"/>
      <c r="G977"/>
      <c r="H977"/>
      <c r="I977"/>
      <c r="J977"/>
      <c r="K977"/>
      <c r="L977"/>
      <c r="M977" s="18"/>
      <c r="N977"/>
      <c r="O977" s="13"/>
      <c r="P977" s="13"/>
      <c r="Q977" s="13"/>
      <c r="R977"/>
    </row>
    <row r="978" spans="1:18" ht="20.100000000000001" customHeight="1" x14ac:dyDescent="0.3">
      <c r="A978"/>
      <c r="B978"/>
      <c r="C978"/>
      <c r="D978"/>
      <c r="E978"/>
      <c r="F978"/>
      <c r="G978"/>
      <c r="H978"/>
      <c r="I978"/>
      <c r="J978"/>
      <c r="K978"/>
      <c r="L978"/>
      <c r="M978" s="18"/>
      <c r="N978"/>
      <c r="O978" s="13"/>
      <c r="P978" s="13"/>
      <c r="Q978" s="13"/>
      <c r="R978"/>
    </row>
    <row r="979" spans="1:18" ht="20.100000000000001" customHeight="1" x14ac:dyDescent="0.3">
      <c r="A979"/>
      <c r="B979"/>
      <c r="C979"/>
      <c r="D979"/>
      <c r="E979"/>
      <c r="F979"/>
      <c r="G979"/>
      <c r="H979"/>
      <c r="I979"/>
      <c r="J979"/>
      <c r="K979"/>
      <c r="L979"/>
      <c r="M979" s="18"/>
      <c r="N979"/>
      <c r="O979" s="13"/>
      <c r="P979" s="13"/>
      <c r="Q979" s="13"/>
      <c r="R979"/>
    </row>
    <row r="980" spans="1:18" ht="20.100000000000001" customHeight="1" x14ac:dyDescent="0.3">
      <c r="A980"/>
      <c r="B980"/>
      <c r="C980"/>
      <c r="D980"/>
      <c r="E980"/>
      <c r="F980"/>
      <c r="G980"/>
      <c r="H980"/>
      <c r="I980"/>
      <c r="J980"/>
      <c r="K980"/>
      <c r="L980"/>
      <c r="M980" s="18"/>
      <c r="N980"/>
      <c r="O980" s="13"/>
      <c r="P980" s="13"/>
      <c r="Q980" s="13"/>
      <c r="R980"/>
    </row>
    <row r="981" spans="1:18" ht="20.100000000000001" customHeight="1" x14ac:dyDescent="0.3">
      <c r="A981"/>
      <c r="B981"/>
      <c r="C981"/>
      <c r="D981"/>
      <c r="E981"/>
      <c r="F981"/>
      <c r="G981"/>
      <c r="H981"/>
      <c r="I981"/>
      <c r="J981"/>
      <c r="K981"/>
      <c r="L981"/>
      <c r="M981" s="18"/>
      <c r="N981"/>
      <c r="O981" s="13"/>
      <c r="P981" s="13"/>
      <c r="Q981" s="13"/>
      <c r="R981"/>
    </row>
    <row r="982" spans="1:18" ht="20.100000000000001" customHeight="1" x14ac:dyDescent="0.3">
      <c r="A982"/>
      <c r="B982"/>
      <c r="C982"/>
      <c r="D982"/>
      <c r="E982"/>
      <c r="F982"/>
      <c r="G982"/>
      <c r="H982"/>
      <c r="I982"/>
      <c r="J982"/>
      <c r="K982"/>
      <c r="L982"/>
      <c r="M982" s="18"/>
      <c r="N982"/>
      <c r="O982" s="13"/>
      <c r="P982" s="13"/>
      <c r="Q982" s="13"/>
      <c r="R982"/>
    </row>
    <row r="983" spans="1:18" ht="20.100000000000001" customHeight="1" x14ac:dyDescent="0.3">
      <c r="A983"/>
      <c r="B983"/>
      <c r="C983"/>
      <c r="D983"/>
      <c r="E983"/>
      <c r="F983"/>
      <c r="G983"/>
      <c r="H983"/>
      <c r="I983"/>
      <c r="J983"/>
      <c r="K983"/>
      <c r="L983"/>
      <c r="M983" s="18"/>
      <c r="N983"/>
      <c r="O983" s="13"/>
      <c r="P983" s="13"/>
      <c r="Q983" s="13"/>
      <c r="R983"/>
    </row>
    <row r="984" spans="1:18" ht="20.100000000000001" customHeight="1" x14ac:dyDescent="0.3">
      <c r="A984"/>
      <c r="B984"/>
      <c r="C984"/>
      <c r="D984"/>
      <c r="E984"/>
      <c r="F984"/>
      <c r="G984"/>
      <c r="H984"/>
      <c r="I984"/>
      <c r="J984"/>
      <c r="K984"/>
      <c r="L984"/>
      <c r="M984" s="18"/>
      <c r="N984"/>
      <c r="O984" s="13"/>
      <c r="P984" s="13"/>
      <c r="Q984" s="13"/>
      <c r="R984"/>
    </row>
    <row r="985" spans="1:18" ht="20.100000000000001" customHeight="1" x14ac:dyDescent="0.3">
      <c r="A985"/>
      <c r="B985"/>
      <c r="C985"/>
      <c r="D985"/>
      <c r="E985"/>
      <c r="F985"/>
      <c r="G985"/>
      <c r="H985"/>
      <c r="I985"/>
      <c r="J985"/>
      <c r="K985"/>
      <c r="L985"/>
      <c r="M985" s="18"/>
      <c r="N985"/>
      <c r="O985" s="13"/>
      <c r="P985" s="13"/>
      <c r="Q985" s="13"/>
      <c r="R985"/>
    </row>
    <row r="986" spans="1:18" ht="20.100000000000001" customHeight="1" x14ac:dyDescent="0.3">
      <c r="A986"/>
      <c r="B986"/>
      <c r="C986"/>
      <c r="D986"/>
      <c r="E986"/>
      <c r="F986"/>
      <c r="G986"/>
      <c r="H986"/>
      <c r="I986"/>
      <c r="J986"/>
      <c r="K986"/>
      <c r="L986"/>
      <c r="M986" s="18"/>
      <c r="N986"/>
      <c r="O986" s="13"/>
      <c r="P986" s="13"/>
      <c r="Q986" s="13"/>
      <c r="R986"/>
    </row>
    <row r="987" spans="1:18" ht="20.100000000000001" customHeight="1" x14ac:dyDescent="0.3">
      <c r="A987"/>
      <c r="B987"/>
      <c r="C987"/>
      <c r="D987"/>
      <c r="E987"/>
      <c r="F987"/>
      <c r="G987"/>
      <c r="H987"/>
      <c r="I987"/>
      <c r="J987"/>
      <c r="K987"/>
      <c r="L987"/>
      <c r="M987" s="18"/>
      <c r="N987"/>
      <c r="O987" s="13"/>
      <c r="P987" s="13"/>
      <c r="Q987" s="13"/>
      <c r="R987"/>
    </row>
    <row r="988" spans="1:18" ht="20.100000000000001" customHeight="1" x14ac:dyDescent="0.3">
      <c r="A988"/>
      <c r="B988"/>
      <c r="C988"/>
      <c r="D988"/>
      <c r="E988"/>
      <c r="F988"/>
      <c r="G988"/>
      <c r="H988"/>
      <c r="I988"/>
      <c r="J988"/>
      <c r="K988"/>
      <c r="L988"/>
      <c r="M988" s="18"/>
      <c r="N988"/>
      <c r="O988" s="13"/>
      <c r="P988" s="13"/>
      <c r="Q988" s="13"/>
      <c r="R988"/>
    </row>
    <row r="989" spans="1:18" ht="20.100000000000001" customHeight="1" x14ac:dyDescent="0.3">
      <c r="A989"/>
      <c r="B989"/>
      <c r="C989"/>
      <c r="D989"/>
      <c r="E989"/>
      <c r="F989"/>
      <c r="G989"/>
      <c r="H989"/>
      <c r="I989"/>
      <c r="J989"/>
      <c r="K989"/>
      <c r="L989"/>
      <c r="M989" s="18"/>
      <c r="N989"/>
      <c r="O989" s="13"/>
      <c r="P989" s="13"/>
      <c r="Q989" s="13"/>
      <c r="R989"/>
    </row>
    <row r="990" spans="1:18" ht="20.100000000000001" customHeight="1" x14ac:dyDescent="0.3">
      <c r="A990"/>
      <c r="B990"/>
      <c r="C990"/>
      <c r="D990"/>
      <c r="E990"/>
      <c r="F990"/>
      <c r="G990"/>
      <c r="H990"/>
      <c r="I990"/>
      <c r="J990"/>
      <c r="K990"/>
      <c r="L990"/>
      <c r="M990" s="18"/>
      <c r="N990"/>
      <c r="O990" s="13"/>
      <c r="P990" s="13"/>
      <c r="Q990" s="13"/>
      <c r="R990"/>
    </row>
    <row r="991" spans="1:18" ht="20.100000000000001" customHeight="1" x14ac:dyDescent="0.3">
      <c r="A991"/>
      <c r="B991"/>
      <c r="C991"/>
      <c r="D991"/>
      <c r="E991"/>
      <c r="F991"/>
      <c r="G991"/>
      <c r="H991"/>
      <c r="I991"/>
      <c r="J991"/>
      <c r="K991"/>
      <c r="L991"/>
      <c r="M991" s="18"/>
      <c r="N991"/>
      <c r="O991" s="13"/>
      <c r="P991" s="13"/>
      <c r="Q991" s="13"/>
      <c r="R991"/>
    </row>
    <row r="992" spans="1:18" ht="20.100000000000001" customHeight="1" x14ac:dyDescent="0.3">
      <c r="A992"/>
      <c r="B992"/>
      <c r="C992"/>
      <c r="D992"/>
      <c r="E992"/>
      <c r="F992"/>
      <c r="G992"/>
      <c r="H992"/>
      <c r="I992"/>
      <c r="J992"/>
      <c r="K992"/>
      <c r="L992"/>
      <c r="M992" s="18"/>
      <c r="N992"/>
      <c r="O992" s="13"/>
      <c r="P992" s="13"/>
      <c r="Q992" s="13"/>
      <c r="R992"/>
    </row>
    <row r="993" spans="1:18" ht="20.100000000000001" customHeight="1" x14ac:dyDescent="0.3">
      <c r="A993"/>
      <c r="B993"/>
      <c r="C993"/>
      <c r="D993"/>
      <c r="E993"/>
      <c r="F993"/>
      <c r="G993"/>
      <c r="H993"/>
      <c r="I993"/>
      <c r="J993"/>
      <c r="K993"/>
      <c r="L993"/>
      <c r="M993" s="18"/>
      <c r="N993"/>
      <c r="O993" s="13"/>
      <c r="P993" s="13"/>
      <c r="Q993" s="13"/>
      <c r="R993"/>
    </row>
    <row r="994" spans="1:18" ht="20.100000000000001" customHeight="1" x14ac:dyDescent="0.3">
      <c r="A994"/>
      <c r="B994"/>
      <c r="C994"/>
      <c r="D994"/>
      <c r="E994"/>
      <c r="F994"/>
      <c r="G994"/>
      <c r="H994"/>
      <c r="I994"/>
      <c r="J994"/>
      <c r="K994"/>
      <c r="L994"/>
      <c r="M994" s="18"/>
      <c r="N994"/>
      <c r="O994" s="13"/>
      <c r="P994" s="13"/>
      <c r="Q994" s="13"/>
      <c r="R994"/>
    </row>
    <row r="995" spans="1:18" ht="20.100000000000001" customHeight="1" x14ac:dyDescent="0.3">
      <c r="A995"/>
      <c r="B995"/>
      <c r="C995"/>
      <c r="D995"/>
      <c r="E995"/>
      <c r="F995"/>
      <c r="G995"/>
      <c r="H995"/>
      <c r="I995"/>
      <c r="J995"/>
      <c r="K995"/>
      <c r="L995"/>
      <c r="M995" s="18"/>
      <c r="N995"/>
      <c r="O995" s="13"/>
      <c r="P995" s="13"/>
      <c r="Q995" s="13"/>
      <c r="R995"/>
    </row>
    <row r="996" spans="1:18" ht="20.100000000000001" customHeight="1" x14ac:dyDescent="0.3">
      <c r="A996"/>
      <c r="B996"/>
      <c r="C996"/>
      <c r="D996"/>
      <c r="E996"/>
      <c r="F996"/>
      <c r="G996"/>
      <c r="H996"/>
      <c r="I996"/>
      <c r="J996"/>
      <c r="K996"/>
      <c r="L996"/>
      <c r="M996" s="18"/>
      <c r="N996"/>
      <c r="O996" s="13"/>
      <c r="P996" s="13"/>
      <c r="Q996" s="13"/>
      <c r="R996"/>
    </row>
    <row r="997" spans="1:18" ht="20.100000000000001" customHeight="1" x14ac:dyDescent="0.3">
      <c r="A997"/>
      <c r="B997"/>
      <c r="C997"/>
      <c r="D997"/>
      <c r="E997"/>
      <c r="F997"/>
      <c r="G997"/>
      <c r="H997"/>
      <c r="I997"/>
      <c r="J997"/>
      <c r="K997"/>
      <c r="L997"/>
      <c r="M997" s="18"/>
      <c r="N997"/>
      <c r="O997" s="13"/>
      <c r="P997" s="13"/>
      <c r="Q997" s="13"/>
      <c r="R997"/>
    </row>
    <row r="998" spans="1:18" ht="20.100000000000001" customHeight="1" x14ac:dyDescent="0.3">
      <c r="A998"/>
      <c r="B998"/>
      <c r="C998"/>
      <c r="D998"/>
      <c r="E998"/>
      <c r="F998"/>
      <c r="G998"/>
      <c r="H998"/>
      <c r="I998"/>
      <c r="J998"/>
      <c r="K998"/>
      <c r="L998"/>
      <c r="M998" s="18"/>
      <c r="N998"/>
      <c r="O998" s="13"/>
      <c r="P998" s="13"/>
      <c r="Q998" s="13"/>
      <c r="R998"/>
    </row>
    <row r="999" spans="1:18" ht="20.100000000000001" customHeight="1" x14ac:dyDescent="0.3">
      <c r="A999"/>
      <c r="B999"/>
      <c r="C999"/>
      <c r="D999"/>
      <c r="E999"/>
      <c r="F999"/>
      <c r="G999"/>
      <c r="H999"/>
      <c r="I999"/>
      <c r="J999"/>
      <c r="K999"/>
      <c r="L999"/>
      <c r="M999" s="18"/>
      <c r="N999"/>
      <c r="O999" s="13"/>
      <c r="P999" s="13"/>
      <c r="Q999" s="13"/>
      <c r="R999"/>
    </row>
    <row r="1000" spans="1:18" ht="20.100000000000001" customHeight="1" x14ac:dyDescent="0.3">
      <c r="A1000"/>
      <c r="B1000"/>
      <c r="C1000"/>
      <c r="D1000"/>
      <c r="E1000"/>
      <c r="F1000"/>
      <c r="G1000"/>
      <c r="H1000"/>
      <c r="I1000"/>
      <c r="J1000"/>
      <c r="K1000"/>
      <c r="L1000"/>
      <c r="M1000" s="18"/>
      <c r="N1000"/>
      <c r="O1000" s="13"/>
      <c r="P1000" s="13"/>
      <c r="Q1000" s="13"/>
      <c r="R1000"/>
    </row>
    <row r="1001" spans="1:18" ht="20.100000000000001" customHeight="1" x14ac:dyDescent="0.3">
      <c r="A1001"/>
      <c r="B1001"/>
      <c r="C1001"/>
      <c r="D1001"/>
      <c r="E1001"/>
      <c r="F1001"/>
      <c r="G1001"/>
      <c r="H1001"/>
      <c r="I1001"/>
      <c r="J1001"/>
      <c r="K1001"/>
      <c r="L1001"/>
      <c r="M1001" s="18"/>
      <c r="N1001"/>
      <c r="O1001" s="13"/>
      <c r="P1001" s="13"/>
      <c r="Q1001" s="13"/>
      <c r="R1001"/>
    </row>
    <row r="1002" spans="1:18" ht="20.100000000000001" customHeight="1" x14ac:dyDescent="0.3">
      <c r="A1002"/>
      <c r="B1002"/>
      <c r="C1002"/>
      <c r="D1002"/>
      <c r="E1002"/>
      <c r="F1002"/>
      <c r="G1002"/>
      <c r="H1002"/>
      <c r="I1002"/>
      <c r="J1002"/>
      <c r="K1002"/>
      <c r="L1002"/>
      <c r="M1002" s="18"/>
      <c r="N1002"/>
      <c r="O1002" s="13"/>
      <c r="P1002" s="13"/>
      <c r="Q1002" s="13"/>
      <c r="R1002"/>
    </row>
    <row r="1003" spans="1:18" ht="20.100000000000001" customHeight="1" x14ac:dyDescent="0.3">
      <c r="A1003"/>
      <c r="B1003"/>
      <c r="C1003"/>
      <c r="D1003"/>
      <c r="E1003"/>
      <c r="F1003"/>
      <c r="G1003"/>
      <c r="H1003"/>
      <c r="I1003"/>
      <c r="J1003"/>
      <c r="K1003"/>
      <c r="L1003"/>
      <c r="M1003" s="18"/>
      <c r="N1003"/>
      <c r="O1003" s="13"/>
      <c r="P1003" s="13"/>
      <c r="Q1003" s="13"/>
      <c r="R1003"/>
    </row>
    <row r="1004" spans="1:18" ht="20.100000000000001" customHeight="1" x14ac:dyDescent="0.3">
      <c r="A1004"/>
      <c r="B1004"/>
      <c r="C1004"/>
      <c r="D1004"/>
      <c r="E1004"/>
      <c r="F1004"/>
      <c r="G1004"/>
      <c r="H1004"/>
      <c r="I1004"/>
      <c r="J1004"/>
      <c r="K1004"/>
      <c r="L1004"/>
      <c r="M1004" s="18"/>
      <c r="N1004"/>
      <c r="O1004" s="13"/>
      <c r="P1004" s="13"/>
      <c r="Q1004" s="13"/>
      <c r="R1004"/>
    </row>
    <row r="1005" spans="1:18" ht="20.100000000000001" customHeight="1" x14ac:dyDescent="0.3">
      <c r="A1005"/>
      <c r="B1005"/>
      <c r="C1005"/>
      <c r="D1005"/>
      <c r="E1005"/>
      <c r="F1005"/>
      <c r="G1005"/>
      <c r="H1005"/>
      <c r="I1005"/>
      <c r="J1005"/>
      <c r="K1005"/>
      <c r="L1005"/>
      <c r="M1005" s="18"/>
      <c r="N1005"/>
      <c r="O1005" s="13"/>
      <c r="P1005" s="13"/>
      <c r="Q1005" s="13"/>
      <c r="R1005"/>
    </row>
    <row r="1006" spans="1:18" ht="20.100000000000001" customHeight="1" x14ac:dyDescent="0.3">
      <c r="A1006"/>
      <c r="B1006"/>
      <c r="C1006"/>
      <c r="D1006"/>
      <c r="E1006"/>
      <c r="F1006"/>
      <c r="G1006"/>
      <c r="H1006"/>
      <c r="I1006"/>
      <c r="J1006"/>
      <c r="K1006"/>
      <c r="L1006"/>
      <c r="M1006" s="18"/>
      <c r="N1006"/>
      <c r="O1006" s="13"/>
      <c r="P1006" s="13"/>
      <c r="Q1006" s="13"/>
      <c r="R1006"/>
    </row>
    <row r="1007" spans="1:18" ht="20.100000000000001" customHeight="1" x14ac:dyDescent="0.3">
      <c r="A1007"/>
      <c r="B1007"/>
      <c r="C1007"/>
      <c r="D1007"/>
      <c r="E1007"/>
      <c r="F1007"/>
      <c r="G1007"/>
      <c r="H1007"/>
      <c r="I1007"/>
      <c r="J1007"/>
      <c r="K1007"/>
      <c r="L1007"/>
      <c r="M1007" s="18"/>
      <c r="N1007"/>
      <c r="O1007" s="13"/>
      <c r="P1007" s="13"/>
      <c r="Q1007" s="13"/>
      <c r="R1007"/>
    </row>
    <row r="1008" spans="1:18" ht="20.100000000000001" customHeight="1" x14ac:dyDescent="0.3">
      <c r="A1008"/>
      <c r="B1008"/>
      <c r="C1008"/>
      <c r="D1008"/>
      <c r="E1008"/>
      <c r="F1008"/>
      <c r="G1008"/>
      <c r="H1008"/>
      <c r="I1008"/>
      <c r="J1008"/>
      <c r="K1008"/>
      <c r="L1008"/>
      <c r="M1008" s="18"/>
      <c r="N1008"/>
      <c r="O1008" s="13"/>
      <c r="P1008" s="13"/>
      <c r="Q1008" s="13"/>
      <c r="R1008"/>
    </row>
    <row r="1009" spans="1:18" ht="20.100000000000001" customHeight="1" x14ac:dyDescent="0.3">
      <c r="A1009"/>
      <c r="B1009"/>
      <c r="C1009"/>
      <c r="D1009"/>
      <c r="E1009"/>
      <c r="F1009"/>
      <c r="G1009"/>
      <c r="H1009"/>
      <c r="I1009"/>
      <c r="J1009"/>
      <c r="K1009"/>
      <c r="L1009"/>
      <c r="M1009" s="18"/>
      <c r="N1009"/>
      <c r="O1009" s="13"/>
      <c r="P1009" s="13"/>
      <c r="Q1009" s="13"/>
      <c r="R1009"/>
    </row>
    <row r="1010" spans="1:18" ht="20.100000000000001" customHeight="1" x14ac:dyDescent="0.3">
      <c r="A1010"/>
      <c r="B1010"/>
      <c r="C1010"/>
      <c r="D1010"/>
      <c r="E1010"/>
      <c r="F1010"/>
      <c r="G1010"/>
      <c r="H1010"/>
      <c r="I1010"/>
      <c r="J1010"/>
      <c r="K1010"/>
      <c r="L1010"/>
      <c r="M1010" s="18"/>
      <c r="N1010"/>
      <c r="O1010" s="13"/>
      <c r="P1010" s="13"/>
      <c r="Q1010" s="13"/>
      <c r="R1010"/>
    </row>
    <row r="1011" spans="1:18" ht="20.100000000000001" customHeight="1" x14ac:dyDescent="0.3">
      <c r="A1011"/>
      <c r="B1011"/>
      <c r="C1011"/>
      <c r="D1011"/>
      <c r="E1011"/>
      <c r="F1011"/>
      <c r="G1011"/>
      <c r="H1011"/>
      <c r="I1011"/>
      <c r="J1011"/>
      <c r="K1011"/>
      <c r="L1011"/>
      <c r="M1011" s="18"/>
      <c r="N1011"/>
      <c r="O1011" s="13"/>
      <c r="P1011" s="13"/>
      <c r="Q1011" s="13"/>
      <c r="R1011"/>
    </row>
    <row r="1012" spans="1:18" ht="20.100000000000001" customHeight="1" x14ac:dyDescent="0.3">
      <c r="A1012"/>
      <c r="B1012"/>
      <c r="C1012"/>
      <c r="D1012"/>
      <c r="E1012"/>
      <c r="F1012"/>
      <c r="G1012"/>
      <c r="H1012"/>
      <c r="I1012"/>
      <c r="J1012"/>
      <c r="K1012"/>
      <c r="L1012"/>
      <c r="M1012" s="18"/>
      <c r="N1012"/>
      <c r="O1012" s="13"/>
      <c r="P1012" s="13"/>
      <c r="Q1012" s="13"/>
      <c r="R1012"/>
    </row>
    <row r="1013" spans="1:18" ht="20.100000000000001" customHeight="1" x14ac:dyDescent="0.3">
      <c r="A1013"/>
      <c r="B1013"/>
      <c r="C1013"/>
      <c r="D1013"/>
      <c r="E1013"/>
      <c r="F1013"/>
      <c r="G1013"/>
      <c r="H1013"/>
      <c r="I1013"/>
      <c r="J1013"/>
      <c r="K1013"/>
      <c r="L1013"/>
      <c r="M1013" s="18"/>
      <c r="N1013"/>
      <c r="O1013" s="13"/>
      <c r="P1013" s="13"/>
      <c r="Q1013" s="13"/>
      <c r="R1013"/>
    </row>
    <row r="1014" spans="1:18" ht="20.100000000000001" customHeight="1" x14ac:dyDescent="0.3">
      <c r="A1014"/>
      <c r="B1014"/>
      <c r="C1014"/>
      <c r="D1014"/>
      <c r="E1014"/>
      <c r="F1014"/>
      <c r="G1014"/>
      <c r="H1014"/>
      <c r="I1014"/>
      <c r="J1014"/>
      <c r="K1014"/>
      <c r="L1014"/>
      <c r="M1014" s="18"/>
      <c r="N1014"/>
      <c r="O1014" s="13"/>
      <c r="P1014" s="13"/>
      <c r="Q1014" s="13"/>
      <c r="R1014"/>
    </row>
    <row r="1015" spans="1:18" ht="20.100000000000001" customHeight="1" x14ac:dyDescent="0.3">
      <c r="A1015"/>
      <c r="B1015"/>
      <c r="C1015"/>
      <c r="D1015"/>
      <c r="E1015"/>
      <c r="F1015"/>
      <c r="G1015"/>
      <c r="H1015"/>
      <c r="I1015"/>
      <c r="J1015"/>
      <c r="K1015"/>
      <c r="L1015"/>
      <c r="M1015" s="18"/>
      <c r="N1015"/>
      <c r="O1015" s="13"/>
      <c r="P1015" s="13"/>
      <c r="Q1015" s="13"/>
      <c r="R1015"/>
    </row>
    <row r="1016" spans="1:18" ht="20.100000000000001" customHeight="1" x14ac:dyDescent="0.3">
      <c r="A1016"/>
      <c r="B1016"/>
      <c r="C1016"/>
      <c r="D1016"/>
      <c r="E1016"/>
      <c r="F1016"/>
      <c r="G1016"/>
      <c r="H1016"/>
      <c r="I1016"/>
      <c r="J1016"/>
      <c r="K1016"/>
      <c r="L1016"/>
      <c r="M1016" s="18"/>
      <c r="N1016"/>
      <c r="O1016" s="13"/>
      <c r="P1016" s="13"/>
      <c r="Q1016" s="13"/>
      <c r="R1016"/>
    </row>
    <row r="1017" spans="1:18" ht="20.100000000000001" customHeight="1" x14ac:dyDescent="0.3">
      <c r="A1017"/>
      <c r="B1017"/>
      <c r="C1017"/>
      <c r="D1017"/>
      <c r="E1017"/>
      <c r="F1017"/>
      <c r="G1017"/>
      <c r="H1017"/>
      <c r="I1017"/>
      <c r="J1017"/>
      <c r="K1017"/>
      <c r="L1017"/>
      <c r="M1017" s="18"/>
      <c r="N1017"/>
      <c r="O1017" s="13"/>
      <c r="P1017" s="13"/>
      <c r="Q1017" s="13"/>
      <c r="R1017"/>
    </row>
    <row r="1018" spans="1:18" ht="20.100000000000001" customHeight="1" x14ac:dyDescent="0.3">
      <c r="A1018"/>
      <c r="B1018"/>
      <c r="C1018"/>
      <c r="D1018"/>
      <c r="E1018"/>
      <c r="F1018"/>
      <c r="G1018"/>
      <c r="H1018"/>
      <c r="I1018"/>
      <c r="J1018"/>
      <c r="K1018"/>
      <c r="L1018"/>
      <c r="M1018" s="18"/>
      <c r="N1018"/>
      <c r="O1018" s="13"/>
      <c r="P1018" s="13"/>
      <c r="Q1018" s="13"/>
      <c r="R1018"/>
    </row>
    <row r="1019" spans="1:18" ht="20.100000000000001" customHeight="1" x14ac:dyDescent="0.3">
      <c r="A1019"/>
      <c r="B1019"/>
      <c r="C1019"/>
      <c r="D1019"/>
      <c r="E1019"/>
      <c r="F1019"/>
      <c r="G1019"/>
      <c r="H1019"/>
      <c r="I1019"/>
      <c r="J1019"/>
      <c r="K1019"/>
      <c r="L1019"/>
      <c r="M1019" s="18"/>
      <c r="N1019"/>
      <c r="O1019" s="13"/>
      <c r="P1019" s="13"/>
      <c r="Q1019" s="13"/>
      <c r="R1019"/>
    </row>
    <row r="1020" spans="1:18" ht="20.100000000000001" customHeight="1" x14ac:dyDescent="0.3">
      <c r="A1020"/>
      <c r="B1020"/>
      <c r="C1020"/>
      <c r="D1020"/>
      <c r="E1020"/>
      <c r="F1020"/>
      <c r="G1020"/>
      <c r="H1020"/>
      <c r="I1020"/>
      <c r="J1020"/>
      <c r="K1020"/>
      <c r="L1020"/>
      <c r="M1020" s="18"/>
      <c r="N1020"/>
      <c r="O1020" s="13"/>
      <c r="P1020" s="13"/>
      <c r="Q1020" s="13"/>
      <c r="R1020"/>
    </row>
    <row r="1021" spans="1:18" ht="20.100000000000001" customHeight="1" x14ac:dyDescent="0.3">
      <c r="A1021"/>
      <c r="B1021"/>
      <c r="C1021"/>
      <c r="D1021"/>
      <c r="E1021"/>
      <c r="F1021"/>
      <c r="G1021"/>
      <c r="H1021"/>
      <c r="I1021"/>
      <c r="J1021"/>
      <c r="K1021"/>
      <c r="L1021"/>
      <c r="M1021" s="18"/>
      <c r="N1021"/>
      <c r="O1021" s="13"/>
      <c r="P1021" s="13"/>
      <c r="Q1021" s="13"/>
      <c r="R1021"/>
    </row>
    <row r="1022" spans="1:18" ht="20.100000000000001" customHeight="1" x14ac:dyDescent="0.3">
      <c r="A1022"/>
      <c r="B1022"/>
      <c r="C1022"/>
      <c r="D1022"/>
      <c r="E1022"/>
      <c r="F1022"/>
      <c r="G1022"/>
      <c r="H1022"/>
      <c r="I1022"/>
      <c r="J1022"/>
      <c r="K1022"/>
      <c r="L1022"/>
      <c r="M1022" s="18"/>
      <c r="N1022"/>
      <c r="O1022" s="13"/>
      <c r="P1022" s="13"/>
      <c r="Q1022" s="13"/>
      <c r="R1022"/>
    </row>
    <row r="1023" spans="1:18" ht="20.100000000000001" customHeight="1" x14ac:dyDescent="0.3">
      <c r="A1023"/>
      <c r="B1023"/>
      <c r="C1023"/>
      <c r="D1023"/>
      <c r="E1023"/>
      <c r="F1023"/>
      <c r="G1023"/>
      <c r="H1023"/>
      <c r="I1023"/>
      <c r="J1023"/>
      <c r="K1023"/>
      <c r="L1023"/>
      <c r="M1023" s="18"/>
      <c r="N1023"/>
      <c r="O1023" s="13"/>
      <c r="P1023" s="13"/>
      <c r="Q1023" s="13"/>
      <c r="R1023"/>
    </row>
    <row r="1024" spans="1:18" ht="20.100000000000001" customHeight="1" x14ac:dyDescent="0.3">
      <c r="A1024"/>
      <c r="B1024"/>
      <c r="C1024"/>
      <c r="D1024"/>
      <c r="E1024"/>
      <c r="F1024"/>
      <c r="G1024"/>
      <c r="H1024"/>
      <c r="I1024"/>
      <c r="J1024"/>
      <c r="K1024"/>
      <c r="L1024"/>
      <c r="M1024" s="18"/>
      <c r="N1024"/>
      <c r="O1024" s="13"/>
      <c r="P1024" s="13"/>
      <c r="Q1024" s="13"/>
      <c r="R1024"/>
    </row>
    <row r="1025" spans="1:18" ht="20.100000000000001" customHeight="1" x14ac:dyDescent="0.3">
      <c r="A1025"/>
      <c r="B1025"/>
      <c r="C1025"/>
      <c r="D1025"/>
      <c r="E1025"/>
      <c r="F1025"/>
      <c r="G1025"/>
      <c r="H1025"/>
      <c r="I1025"/>
      <c r="J1025"/>
      <c r="K1025"/>
      <c r="L1025"/>
      <c r="M1025" s="18"/>
      <c r="N1025"/>
      <c r="O1025" s="13"/>
      <c r="P1025" s="13"/>
      <c r="Q1025" s="13"/>
      <c r="R1025"/>
    </row>
    <row r="1026" spans="1:18" ht="20.100000000000001" customHeight="1" x14ac:dyDescent="0.3">
      <c r="A1026"/>
      <c r="B1026"/>
      <c r="C1026"/>
      <c r="D1026"/>
      <c r="E1026"/>
      <c r="F1026"/>
      <c r="G1026"/>
      <c r="H1026"/>
      <c r="I1026"/>
      <c r="J1026"/>
      <c r="K1026"/>
      <c r="L1026"/>
      <c r="M1026" s="18"/>
      <c r="N1026"/>
      <c r="O1026" s="13"/>
      <c r="P1026" s="13"/>
      <c r="Q1026" s="13"/>
      <c r="R1026"/>
    </row>
    <row r="1027" spans="1:18" ht="20.100000000000001" customHeight="1" x14ac:dyDescent="0.3">
      <c r="A1027"/>
      <c r="B1027"/>
      <c r="C1027"/>
      <c r="D1027"/>
      <c r="E1027"/>
      <c r="F1027"/>
      <c r="G1027"/>
      <c r="H1027"/>
      <c r="I1027"/>
      <c r="J1027"/>
      <c r="K1027"/>
      <c r="L1027"/>
      <c r="M1027" s="18"/>
      <c r="N1027"/>
      <c r="O1027" s="13"/>
      <c r="P1027" s="13"/>
      <c r="Q1027" s="13"/>
      <c r="R1027"/>
    </row>
    <row r="1028" spans="1:18" ht="20.100000000000001" customHeight="1" x14ac:dyDescent="0.3">
      <c r="A1028"/>
      <c r="B1028"/>
      <c r="C1028"/>
      <c r="D1028"/>
      <c r="E1028"/>
      <c r="F1028"/>
      <c r="G1028"/>
      <c r="H1028"/>
      <c r="I1028"/>
      <c r="J1028"/>
      <c r="K1028"/>
      <c r="L1028"/>
      <c r="M1028" s="18"/>
      <c r="N1028"/>
      <c r="O1028" s="13"/>
      <c r="P1028" s="13"/>
      <c r="Q1028" s="13"/>
      <c r="R1028"/>
    </row>
    <row r="1029" spans="1:18" ht="20.100000000000001" customHeight="1" x14ac:dyDescent="0.3">
      <c r="A1029"/>
      <c r="B1029"/>
      <c r="C1029"/>
      <c r="D1029"/>
      <c r="E1029"/>
      <c r="F1029"/>
      <c r="G1029"/>
      <c r="H1029"/>
      <c r="I1029"/>
      <c r="J1029"/>
      <c r="K1029"/>
      <c r="L1029"/>
      <c r="M1029" s="18"/>
      <c r="N1029"/>
      <c r="O1029" s="13"/>
      <c r="P1029" s="13"/>
      <c r="Q1029" s="13"/>
      <c r="R1029"/>
    </row>
    <row r="1030" spans="1:18" x14ac:dyDescent="0.3">
      <c r="A1030"/>
      <c r="B1030"/>
      <c r="C1030"/>
      <c r="D1030"/>
      <c r="E1030"/>
      <c r="F1030"/>
      <c r="G1030"/>
      <c r="H1030"/>
      <c r="I1030"/>
      <c r="J1030"/>
      <c r="K1030"/>
      <c r="L1030"/>
      <c r="M1030" s="18"/>
      <c r="N1030"/>
      <c r="O1030" s="13"/>
      <c r="P1030" s="13"/>
      <c r="Q1030" s="13"/>
      <c r="R1030"/>
    </row>
    <row r="1031" spans="1:18" x14ac:dyDescent="0.3">
      <c r="A1031"/>
      <c r="B1031"/>
      <c r="C1031"/>
      <c r="D1031"/>
      <c r="E1031"/>
      <c r="F1031"/>
      <c r="G1031"/>
      <c r="H1031"/>
      <c r="I1031"/>
      <c r="J1031"/>
      <c r="K1031"/>
      <c r="L1031"/>
      <c r="M1031" s="18"/>
      <c r="N1031"/>
      <c r="O1031" s="13"/>
      <c r="P1031" s="13"/>
      <c r="Q1031" s="13"/>
      <c r="R1031"/>
    </row>
    <row r="1032" spans="1:18" x14ac:dyDescent="0.3">
      <c r="A1032"/>
      <c r="B1032"/>
      <c r="C1032"/>
      <c r="D1032"/>
      <c r="E1032"/>
      <c r="F1032"/>
      <c r="G1032"/>
      <c r="H1032"/>
      <c r="I1032"/>
      <c r="J1032"/>
      <c r="K1032"/>
      <c r="L1032"/>
      <c r="M1032" s="18"/>
      <c r="N1032"/>
      <c r="O1032" s="13"/>
      <c r="P1032" s="13"/>
      <c r="Q1032" s="13"/>
      <c r="R1032"/>
    </row>
    <row r="1033" spans="1:18" x14ac:dyDescent="0.3">
      <c r="A1033"/>
      <c r="B1033"/>
      <c r="C1033"/>
      <c r="D1033"/>
      <c r="E1033"/>
      <c r="F1033"/>
      <c r="G1033"/>
      <c r="H1033"/>
      <c r="I1033"/>
      <c r="J1033"/>
      <c r="K1033"/>
      <c r="L1033"/>
      <c r="M1033" s="18"/>
      <c r="N1033"/>
      <c r="O1033" s="13"/>
      <c r="P1033" s="13"/>
      <c r="Q1033" s="13"/>
      <c r="R1033"/>
    </row>
    <row r="1034" spans="1:18" x14ac:dyDescent="0.3">
      <c r="A1034"/>
      <c r="B1034"/>
      <c r="C1034"/>
      <c r="D1034"/>
      <c r="E1034"/>
      <c r="F1034"/>
      <c r="G1034"/>
      <c r="H1034"/>
      <c r="I1034"/>
      <c r="J1034"/>
      <c r="K1034"/>
      <c r="L1034"/>
      <c r="M1034" s="18"/>
      <c r="N1034"/>
      <c r="O1034" s="13"/>
      <c r="P1034" s="13"/>
      <c r="Q1034" s="13"/>
      <c r="R1034"/>
    </row>
    <row r="1035" spans="1:18" x14ac:dyDescent="0.3">
      <c r="A1035"/>
      <c r="B1035"/>
      <c r="C1035"/>
      <c r="D1035"/>
      <c r="E1035"/>
      <c r="F1035"/>
      <c r="G1035"/>
      <c r="H1035"/>
      <c r="I1035"/>
      <c r="J1035"/>
      <c r="K1035"/>
      <c r="L1035"/>
      <c r="M1035" s="18"/>
      <c r="N1035"/>
      <c r="O1035" s="13"/>
      <c r="P1035" s="13"/>
      <c r="Q1035" s="13"/>
      <c r="R1035"/>
    </row>
    <row r="1036" spans="1:18" x14ac:dyDescent="0.3">
      <c r="A1036"/>
      <c r="B1036"/>
      <c r="C1036"/>
      <c r="D1036"/>
      <c r="E1036"/>
      <c r="F1036"/>
      <c r="G1036"/>
      <c r="H1036"/>
      <c r="I1036"/>
      <c r="J1036"/>
      <c r="K1036"/>
      <c r="L1036"/>
      <c r="M1036" s="18"/>
      <c r="N1036"/>
      <c r="O1036" s="13"/>
      <c r="P1036" s="13"/>
      <c r="Q1036" s="13"/>
      <c r="R1036"/>
    </row>
    <row r="1037" spans="1:18" x14ac:dyDescent="0.3">
      <c r="A1037"/>
      <c r="B1037"/>
      <c r="C1037"/>
      <c r="D1037"/>
      <c r="E1037"/>
      <c r="F1037"/>
      <c r="G1037"/>
      <c r="H1037"/>
      <c r="I1037"/>
      <c r="J1037"/>
      <c r="K1037"/>
      <c r="L1037"/>
      <c r="M1037" s="18"/>
      <c r="N1037"/>
      <c r="O1037" s="13"/>
      <c r="P1037" s="13"/>
      <c r="Q1037" s="13"/>
      <c r="R1037"/>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2C3F-0DCB-4C54-8408-02C27CCE748C}">
  <dimension ref="A1:BZ29"/>
  <sheetViews>
    <sheetView topLeftCell="H1" zoomScaleNormal="100" workbookViewId="0">
      <selection activeCell="AA10" sqref="AA10"/>
    </sheetView>
  </sheetViews>
  <sheetFormatPr defaultRowHeight="14.4" x14ac:dyDescent="0.3"/>
  <cols>
    <col min="1" max="1" width="14.5546875" bestFit="1" customWidth="1"/>
    <col min="2" max="2" width="7.6640625" bestFit="1" customWidth="1"/>
    <col min="3" max="3" width="14.5546875" bestFit="1" customWidth="1"/>
    <col min="7" max="7" width="16.33203125" bestFit="1" customWidth="1"/>
    <col min="8" max="8" width="16.5546875" bestFit="1" customWidth="1"/>
    <col min="15" max="15" width="17.77734375" bestFit="1" customWidth="1"/>
    <col min="16" max="16" width="7.6640625" bestFit="1" customWidth="1"/>
    <col min="17" max="17" width="10.109375" bestFit="1" customWidth="1"/>
    <col min="23" max="23" width="12.5546875" bestFit="1" customWidth="1"/>
    <col min="24" max="24" width="14.5546875" bestFit="1" customWidth="1"/>
    <col min="31" max="31" width="12.5546875" bestFit="1" customWidth="1"/>
    <col min="32" max="32" width="13.109375" bestFit="1" customWidth="1"/>
    <col min="39" max="39" width="12.5546875" bestFit="1" customWidth="1"/>
    <col min="40" max="40" width="14.5546875" bestFit="1" customWidth="1"/>
    <col min="47" max="47" width="12.6640625" bestFit="1" customWidth="1"/>
    <col min="48" max="48" width="14.5546875" bestFit="1" customWidth="1"/>
    <col min="55" max="55" width="11.33203125" bestFit="1" customWidth="1"/>
    <col min="56" max="56" width="16.5546875" bestFit="1" customWidth="1"/>
    <col min="72" max="72" width="12.5546875" bestFit="1" customWidth="1"/>
    <col min="73" max="73" width="16.5546875" bestFit="1" customWidth="1"/>
  </cols>
  <sheetData>
    <row r="1" spans="1:78" ht="14.4" customHeight="1" x14ac:dyDescent="0.3">
      <c r="A1" s="29" t="s">
        <v>288</v>
      </c>
      <c r="B1" s="28"/>
      <c r="C1" s="28"/>
      <c r="D1" s="28"/>
      <c r="E1" s="28"/>
      <c r="F1" s="28"/>
      <c r="G1" s="29" t="s">
        <v>290</v>
      </c>
      <c r="H1" s="28"/>
      <c r="I1" s="28"/>
      <c r="J1" s="28"/>
      <c r="K1" s="28"/>
      <c r="L1" s="28"/>
      <c r="M1" s="28"/>
      <c r="N1" s="28"/>
      <c r="O1" s="29" t="s">
        <v>296</v>
      </c>
      <c r="P1" s="28"/>
      <c r="Q1" s="28"/>
      <c r="R1" s="28"/>
      <c r="S1" s="28"/>
      <c r="T1" s="28"/>
      <c r="U1" s="28"/>
      <c r="V1" s="28"/>
      <c r="W1" s="29" t="s">
        <v>295</v>
      </c>
      <c r="X1" s="28"/>
      <c r="Y1" s="28"/>
      <c r="Z1" s="28"/>
      <c r="AA1" s="28"/>
      <c r="AB1" s="28"/>
      <c r="AC1" s="28"/>
      <c r="AD1" s="28"/>
      <c r="AE1" s="30" t="s">
        <v>298</v>
      </c>
      <c r="AF1" s="30"/>
      <c r="AG1" s="30"/>
      <c r="AH1" s="30"/>
      <c r="AI1" s="30"/>
      <c r="AJ1" s="30"/>
      <c r="AK1" s="28"/>
      <c r="AL1" s="28"/>
      <c r="AM1" s="29" t="s">
        <v>299</v>
      </c>
      <c r="AN1" s="28"/>
      <c r="AO1" s="28"/>
      <c r="AP1" s="28"/>
      <c r="AQ1" s="28"/>
      <c r="AR1" s="28"/>
      <c r="AS1" s="28"/>
      <c r="AT1" s="28"/>
      <c r="AU1" s="29" t="s">
        <v>300</v>
      </c>
      <c r="AV1" s="28"/>
      <c r="AW1" s="28"/>
      <c r="AX1" s="28"/>
      <c r="AY1" s="28"/>
      <c r="AZ1" s="28"/>
      <c r="BA1" s="28"/>
      <c r="BB1" s="28"/>
      <c r="BC1" s="32" t="s">
        <v>302</v>
      </c>
      <c r="BD1" s="32"/>
      <c r="BE1" s="32"/>
      <c r="BF1" s="32"/>
      <c r="BG1" s="32"/>
      <c r="BH1" s="32"/>
      <c r="BI1" s="28"/>
      <c r="BJ1" s="28"/>
      <c r="BK1" s="31" t="s">
        <v>303</v>
      </c>
      <c r="BL1" s="31"/>
      <c r="BM1" s="31"/>
      <c r="BN1" s="31"/>
      <c r="BO1" s="31"/>
      <c r="BP1" s="31"/>
      <c r="BQ1" s="28"/>
      <c r="BR1" s="28"/>
      <c r="BS1" s="32" t="s">
        <v>304</v>
      </c>
      <c r="BT1" s="32"/>
      <c r="BU1" s="32"/>
      <c r="BV1" s="32"/>
      <c r="BW1" s="32"/>
      <c r="BX1" s="32"/>
      <c r="BY1" s="28"/>
      <c r="BZ1" s="28"/>
    </row>
    <row r="2" spans="1:78" x14ac:dyDescent="0.3">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30"/>
      <c r="AF2" s="30"/>
      <c r="AG2" s="30"/>
      <c r="AH2" s="30"/>
      <c r="AI2" s="30"/>
      <c r="AJ2" s="30"/>
      <c r="AK2" s="28"/>
      <c r="AL2" s="28"/>
      <c r="AM2" s="28"/>
      <c r="AN2" s="28"/>
      <c r="AO2" s="28"/>
      <c r="AP2" s="28"/>
      <c r="AQ2" s="28"/>
      <c r="AR2" s="28"/>
      <c r="AS2" s="28"/>
      <c r="AT2" s="28"/>
      <c r="AU2" s="28"/>
      <c r="AV2" s="28"/>
      <c r="AW2" s="28"/>
      <c r="AX2" s="28"/>
      <c r="AY2" s="28"/>
      <c r="AZ2" s="28"/>
      <c r="BA2" s="28"/>
      <c r="BB2" s="28"/>
      <c r="BC2" s="32"/>
      <c r="BD2" s="32"/>
      <c r="BE2" s="32"/>
      <c r="BF2" s="32"/>
      <c r="BG2" s="32"/>
      <c r="BH2" s="32"/>
      <c r="BI2" s="28"/>
      <c r="BJ2" s="28"/>
      <c r="BK2" s="31"/>
      <c r="BL2" s="31"/>
      <c r="BM2" s="31"/>
      <c r="BN2" s="31"/>
      <c r="BO2" s="31"/>
      <c r="BP2" s="31"/>
      <c r="BQ2" s="28"/>
      <c r="BR2" s="28"/>
      <c r="BS2" s="32"/>
      <c r="BT2" s="32"/>
      <c r="BU2" s="32"/>
      <c r="BV2" s="32"/>
      <c r="BW2" s="32"/>
      <c r="BX2" s="32"/>
      <c r="BY2" s="28"/>
      <c r="BZ2" s="28"/>
    </row>
    <row r="3" spans="1:78" x14ac:dyDescent="0.3">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30"/>
      <c r="AF3" s="30"/>
      <c r="AG3" s="30"/>
      <c r="AH3" s="30"/>
      <c r="AI3" s="30"/>
      <c r="AJ3" s="30"/>
      <c r="AK3" s="28"/>
      <c r="AL3" s="28"/>
      <c r="AM3" s="28"/>
      <c r="AN3" s="28"/>
      <c r="AO3" s="28"/>
      <c r="AP3" s="28"/>
      <c r="AQ3" s="28"/>
      <c r="AR3" s="28"/>
      <c r="AS3" s="28"/>
      <c r="AT3" s="28"/>
      <c r="AU3" s="28"/>
      <c r="AV3" s="28"/>
      <c r="AW3" s="28"/>
      <c r="AX3" s="28"/>
      <c r="AY3" s="28"/>
      <c r="AZ3" s="28"/>
      <c r="BA3" s="28"/>
      <c r="BB3" s="28"/>
      <c r="BC3" s="32"/>
      <c r="BD3" s="32"/>
      <c r="BE3" s="32"/>
      <c r="BF3" s="32"/>
      <c r="BG3" s="32"/>
      <c r="BH3" s="32"/>
      <c r="BI3" s="28"/>
      <c r="BJ3" s="28"/>
      <c r="BK3" s="31"/>
      <c r="BL3" s="31"/>
      <c r="BM3" s="31"/>
      <c r="BN3" s="31"/>
      <c r="BO3" s="31"/>
      <c r="BP3" s="31"/>
      <c r="BQ3" s="28"/>
      <c r="BR3" s="28"/>
      <c r="BS3" s="32"/>
      <c r="BT3" s="32"/>
      <c r="BU3" s="32"/>
      <c r="BV3" s="32"/>
      <c r="BW3" s="32"/>
      <c r="BX3" s="32"/>
      <c r="BY3" s="28"/>
      <c r="BZ3" s="28"/>
    </row>
    <row r="4" spans="1:78" x14ac:dyDescent="0.3">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30"/>
      <c r="AF4" s="30"/>
      <c r="AG4" s="30"/>
      <c r="AH4" s="30"/>
      <c r="AI4" s="30"/>
      <c r="AJ4" s="30"/>
      <c r="AK4" s="28"/>
      <c r="AL4" s="28"/>
      <c r="AM4" s="28"/>
      <c r="AN4" s="28"/>
      <c r="AO4" s="28"/>
      <c r="AP4" s="28"/>
      <c r="AQ4" s="28"/>
      <c r="AR4" s="28"/>
      <c r="AS4" s="28"/>
      <c r="AT4" s="28"/>
      <c r="AU4" s="28"/>
      <c r="AV4" s="28"/>
      <c r="AW4" s="28"/>
      <c r="AX4" s="28"/>
      <c r="AY4" s="28"/>
      <c r="AZ4" s="28"/>
      <c r="BA4" s="28"/>
      <c r="BB4" s="28"/>
      <c r="BC4" s="32"/>
      <c r="BD4" s="32"/>
      <c r="BE4" s="32"/>
      <c r="BF4" s="32"/>
      <c r="BG4" s="32"/>
      <c r="BH4" s="32"/>
      <c r="BI4" s="28"/>
      <c r="BJ4" s="28"/>
      <c r="BK4" s="31"/>
      <c r="BL4" s="31"/>
      <c r="BM4" s="31"/>
      <c r="BN4" s="31"/>
      <c r="BO4" s="31"/>
      <c r="BP4" s="31"/>
      <c r="BQ4" s="28"/>
      <c r="BR4" s="28"/>
      <c r="BS4" s="32"/>
      <c r="BT4" s="32"/>
      <c r="BU4" s="32"/>
      <c r="BV4" s="32"/>
      <c r="BW4" s="32"/>
      <c r="BX4" s="32"/>
      <c r="BY4" s="28"/>
      <c r="BZ4" s="28"/>
    </row>
    <row r="5" spans="1:78" x14ac:dyDescent="0.3">
      <c r="E5" s="28"/>
      <c r="F5" s="28"/>
      <c r="M5" s="28"/>
      <c r="N5" s="28"/>
      <c r="U5" s="28"/>
      <c r="V5" s="28"/>
      <c r="AC5" s="28"/>
      <c r="AD5" s="28"/>
      <c r="AK5" s="28"/>
      <c r="AL5" s="28"/>
      <c r="AS5" s="28"/>
      <c r="AT5" s="28"/>
      <c r="BA5" s="28"/>
      <c r="BB5" s="28"/>
      <c r="BI5" s="28"/>
      <c r="BJ5" s="28"/>
      <c r="BQ5" s="28"/>
      <c r="BR5" s="28"/>
      <c r="BY5" s="28"/>
      <c r="BZ5" s="28"/>
    </row>
    <row r="6" spans="1:78" x14ac:dyDescent="0.3">
      <c r="E6" s="28"/>
      <c r="F6" s="28"/>
      <c r="M6" s="28"/>
      <c r="N6" s="28"/>
      <c r="U6" s="28"/>
      <c r="V6" s="28"/>
      <c r="AC6" s="28"/>
      <c r="AD6" s="28"/>
      <c r="AK6" s="28"/>
      <c r="AL6" s="28"/>
      <c r="AS6" s="28"/>
      <c r="AT6" s="28"/>
      <c r="BA6" s="28"/>
      <c r="BB6" s="28"/>
      <c r="BI6" s="28"/>
      <c r="BJ6" s="28"/>
      <c r="BQ6" s="28"/>
      <c r="BR6" s="28"/>
      <c r="BY6" s="28"/>
      <c r="BZ6" s="28"/>
    </row>
    <row r="7" spans="1:78" x14ac:dyDescent="0.3">
      <c r="A7" s="21" t="s">
        <v>172</v>
      </c>
      <c r="B7" t="s">
        <v>175</v>
      </c>
      <c r="E7" s="28"/>
      <c r="F7" s="28"/>
      <c r="M7" s="28"/>
      <c r="N7" s="28"/>
      <c r="O7" s="21" t="s">
        <v>172</v>
      </c>
      <c r="P7" t="s">
        <v>175</v>
      </c>
      <c r="U7" s="28"/>
      <c r="V7" s="28"/>
      <c r="AC7" s="28"/>
      <c r="AD7" s="28"/>
      <c r="AK7" s="28"/>
      <c r="AL7" s="28"/>
      <c r="AS7" s="28"/>
      <c r="AT7" s="28"/>
      <c r="BA7" s="28"/>
      <c r="BB7" s="28"/>
      <c r="BI7" s="28"/>
      <c r="BJ7" s="28"/>
      <c r="BQ7" s="28"/>
      <c r="BR7" s="28"/>
      <c r="BY7" s="28"/>
      <c r="BZ7" s="28"/>
    </row>
    <row r="8" spans="1:78" x14ac:dyDescent="0.3">
      <c r="E8" s="28"/>
      <c r="F8" s="28"/>
      <c r="M8" s="28"/>
      <c r="N8" s="28"/>
      <c r="U8" s="28"/>
      <c r="V8" s="28"/>
      <c r="AC8" s="28"/>
      <c r="AD8" s="28"/>
      <c r="AK8" s="28"/>
      <c r="AL8" s="28"/>
      <c r="AS8" s="28"/>
      <c r="AT8" s="28"/>
      <c r="BA8" s="28"/>
      <c r="BB8" s="28"/>
      <c r="BI8" s="28"/>
      <c r="BJ8" s="28"/>
      <c r="BQ8" s="28"/>
      <c r="BR8" s="28"/>
      <c r="BT8" s="21" t="s">
        <v>293</v>
      </c>
      <c r="BU8" t="s">
        <v>301</v>
      </c>
      <c r="BY8" s="28"/>
      <c r="BZ8" s="28"/>
    </row>
    <row r="9" spans="1:78" x14ac:dyDescent="0.3">
      <c r="A9" t="s">
        <v>289</v>
      </c>
      <c r="E9" s="28"/>
      <c r="F9" s="28"/>
      <c r="M9" s="28"/>
      <c r="N9" s="28"/>
      <c r="O9" t="s">
        <v>292</v>
      </c>
      <c r="U9" s="28"/>
      <c r="V9" s="28"/>
      <c r="W9" s="21" t="s">
        <v>293</v>
      </c>
      <c r="X9" t="s">
        <v>289</v>
      </c>
      <c r="AC9" s="28"/>
      <c r="AD9" s="28"/>
      <c r="AK9" s="28"/>
      <c r="AL9" s="28"/>
      <c r="AS9" s="28"/>
      <c r="AT9" s="28"/>
      <c r="BA9" s="28"/>
      <c r="BB9" s="28"/>
      <c r="BI9" s="28"/>
      <c r="BJ9" s="28"/>
      <c r="BQ9" s="28"/>
      <c r="BR9" s="28"/>
      <c r="BT9" s="23" t="s">
        <v>175</v>
      </c>
      <c r="BU9" s="26">
        <v>0.81666666666666665</v>
      </c>
      <c r="BY9" s="28"/>
      <c r="BZ9" s="28"/>
    </row>
    <row r="10" spans="1:78" x14ac:dyDescent="0.3">
      <c r="A10" s="22">
        <v>1004662.40544</v>
      </c>
      <c r="C10" s="18">
        <f>GETPIVOTDATA("سعر البيع ",$A$9)</f>
        <v>1004662.40544</v>
      </c>
      <c r="E10" s="28"/>
      <c r="F10" s="28"/>
      <c r="G10" t="s">
        <v>291</v>
      </c>
      <c r="H10" t="s">
        <v>301</v>
      </c>
      <c r="M10" s="28"/>
      <c r="N10" s="28"/>
      <c r="O10" s="20">
        <v>10251.657198367348</v>
      </c>
      <c r="Q10" s="18">
        <f>GETPIVOTDATA("سعر البيع ",$O$9)</f>
        <v>10251.657198367348</v>
      </c>
      <c r="U10" s="28"/>
      <c r="V10" s="28"/>
      <c r="W10" s="23" t="s">
        <v>245</v>
      </c>
      <c r="X10" s="20">
        <v>150806</v>
      </c>
      <c r="AC10" s="28"/>
      <c r="AD10" s="28"/>
      <c r="AE10" s="21" t="s">
        <v>293</v>
      </c>
      <c r="AF10" t="s">
        <v>297</v>
      </c>
      <c r="AK10" s="28"/>
      <c r="AL10" s="28"/>
      <c r="AM10" s="21" t="s">
        <v>293</v>
      </c>
      <c r="AN10" t="s">
        <v>289</v>
      </c>
      <c r="AS10" s="28"/>
      <c r="AT10" s="28"/>
      <c r="AU10" s="21" t="s">
        <v>293</v>
      </c>
      <c r="AV10" t="s">
        <v>289</v>
      </c>
      <c r="BA10" s="28"/>
      <c r="BB10" s="28"/>
      <c r="BI10" s="28"/>
      <c r="BJ10" s="28"/>
      <c r="BQ10" s="28"/>
      <c r="BR10" s="28"/>
      <c r="BT10" s="23" t="s">
        <v>173</v>
      </c>
      <c r="BU10" s="26">
        <v>2.5000000000000001E-2</v>
      </c>
      <c r="BY10" s="28"/>
      <c r="BZ10" s="28"/>
    </row>
    <row r="11" spans="1:78" x14ac:dyDescent="0.3">
      <c r="E11" s="28"/>
      <c r="F11" s="28"/>
      <c r="G11">
        <v>70</v>
      </c>
      <c r="H11">
        <v>120</v>
      </c>
      <c r="I11">
        <f>GETPIVOTDATA("رقم الطلب",$G$10)</f>
        <v>70</v>
      </c>
      <c r="M11" s="28"/>
      <c r="N11" s="28"/>
      <c r="U11" s="28"/>
      <c r="V11" s="28"/>
      <c r="W11" s="23" t="s">
        <v>144</v>
      </c>
      <c r="X11" s="20">
        <v>22000</v>
      </c>
      <c r="AC11" s="28"/>
      <c r="AD11" s="28"/>
      <c r="AE11" s="23" t="s">
        <v>186</v>
      </c>
      <c r="AF11">
        <v>4</v>
      </c>
      <c r="AK11" s="28"/>
      <c r="AL11" s="28"/>
      <c r="AM11" s="23" t="s">
        <v>151</v>
      </c>
      <c r="AN11" s="20">
        <v>346478</v>
      </c>
      <c r="AS11" s="28"/>
      <c r="AT11" s="28"/>
      <c r="AU11" s="23" t="s">
        <v>33</v>
      </c>
      <c r="AV11" s="20">
        <v>198377.5</v>
      </c>
      <c r="BA11" s="28"/>
      <c r="BB11" s="28"/>
      <c r="BD11" t="s">
        <v>301</v>
      </c>
      <c r="BI11" s="28"/>
      <c r="BJ11" s="28"/>
      <c r="BL11" s="24">
        <f>البيانات!N130</f>
        <v>0.39166666666666666</v>
      </c>
      <c r="BQ11" s="28"/>
      <c r="BR11" s="28"/>
      <c r="BT11" s="23" t="s">
        <v>204</v>
      </c>
      <c r="BU11" s="26">
        <v>0.14166666666666666</v>
      </c>
      <c r="BY11" s="28"/>
      <c r="BZ11" s="28"/>
    </row>
    <row r="12" spans="1:78" x14ac:dyDescent="0.3">
      <c r="C12" s="18">
        <f>GETPIVOTDATA("سعر البيع ",$A$9)</f>
        <v>1004662.40544</v>
      </c>
      <c r="E12" s="28"/>
      <c r="F12" s="28"/>
      <c r="M12" s="28"/>
      <c r="N12" s="28"/>
      <c r="U12" s="28"/>
      <c r="V12" s="28"/>
      <c r="W12" s="23" t="s">
        <v>137</v>
      </c>
      <c r="X12" s="20">
        <v>810298.31544000003</v>
      </c>
      <c r="AC12" s="28"/>
      <c r="AD12" s="28"/>
      <c r="AE12" s="23" t="s">
        <v>49</v>
      </c>
      <c r="AF12">
        <v>10</v>
      </c>
      <c r="AK12" s="28"/>
      <c r="AL12" s="28"/>
      <c r="AM12" s="23" t="s">
        <v>154</v>
      </c>
      <c r="AN12" s="20">
        <v>29771</v>
      </c>
      <c r="AS12" s="28"/>
      <c r="AT12" s="28"/>
      <c r="AU12" s="23" t="s">
        <v>60</v>
      </c>
      <c r="AV12" s="20">
        <v>158284</v>
      </c>
      <c r="BA12" s="28"/>
      <c r="BB12" s="28"/>
      <c r="BD12">
        <v>120</v>
      </c>
      <c r="BI12" s="28"/>
      <c r="BJ12" s="28"/>
      <c r="BQ12" s="28"/>
      <c r="BR12" s="28"/>
      <c r="BT12" s="23" t="s">
        <v>183</v>
      </c>
      <c r="BU12" s="26">
        <v>8.3333333333333332E-3</v>
      </c>
      <c r="BY12" s="28"/>
      <c r="BZ12" s="28"/>
    </row>
    <row r="13" spans="1:78" x14ac:dyDescent="0.3">
      <c r="E13" s="28"/>
      <c r="F13" s="28"/>
      <c r="M13" s="28"/>
      <c r="N13" s="28"/>
      <c r="U13" s="28"/>
      <c r="V13" s="28"/>
      <c r="W13" s="23" t="s">
        <v>192</v>
      </c>
      <c r="X13" s="20">
        <v>10451</v>
      </c>
      <c r="AC13" s="28"/>
      <c r="AD13" s="28"/>
      <c r="AE13" s="23" t="s">
        <v>37</v>
      </c>
      <c r="AF13">
        <v>7</v>
      </c>
      <c r="AK13" s="28"/>
      <c r="AL13" s="28"/>
      <c r="AM13" s="23" t="s">
        <v>152</v>
      </c>
      <c r="AN13" s="20">
        <v>681349.40999999992</v>
      </c>
      <c r="AS13" s="28"/>
      <c r="AT13" s="28"/>
      <c r="AU13" s="23" t="s">
        <v>196</v>
      </c>
      <c r="AV13" s="20">
        <v>91171</v>
      </c>
      <c r="BA13" s="28"/>
      <c r="BB13" s="28"/>
      <c r="BI13" s="28"/>
      <c r="BJ13" s="28"/>
      <c r="BQ13" s="28"/>
      <c r="BR13" s="28"/>
      <c r="BT13" s="23" t="s">
        <v>230</v>
      </c>
      <c r="BU13" s="26">
        <v>8.3333333333333332E-3</v>
      </c>
      <c r="BY13" s="28"/>
      <c r="BZ13" s="28"/>
    </row>
    <row r="14" spans="1:78" x14ac:dyDescent="0.3">
      <c r="E14" s="28"/>
      <c r="F14" s="28"/>
      <c r="M14" s="28"/>
      <c r="N14" s="28"/>
      <c r="U14" s="28"/>
      <c r="V14" s="28"/>
      <c r="W14" s="23" t="s">
        <v>147</v>
      </c>
      <c r="X14" s="20">
        <v>9300</v>
      </c>
      <c r="AC14" s="28"/>
      <c r="AD14" s="28"/>
      <c r="AE14" s="23" t="s">
        <v>27</v>
      </c>
      <c r="AF14">
        <v>15</v>
      </c>
      <c r="AK14" s="28"/>
      <c r="AL14" s="28"/>
      <c r="AM14" s="23" t="s">
        <v>178</v>
      </c>
      <c r="AN14" s="20">
        <v>6250</v>
      </c>
      <c r="AS14" s="28"/>
      <c r="AT14" s="28"/>
      <c r="AU14" s="23" t="s">
        <v>36</v>
      </c>
      <c r="AV14" s="20">
        <v>79593</v>
      </c>
      <c r="BA14" s="28"/>
      <c r="BB14" s="28"/>
      <c r="BI14" s="28"/>
      <c r="BJ14" s="28"/>
      <c r="BQ14" s="28"/>
      <c r="BR14" s="28"/>
      <c r="BT14" s="23" t="s">
        <v>294</v>
      </c>
      <c r="BU14" s="26">
        <v>1</v>
      </c>
      <c r="BY14" s="28"/>
      <c r="BZ14" s="28"/>
    </row>
    <row r="15" spans="1:78" x14ac:dyDescent="0.3">
      <c r="E15" s="28"/>
      <c r="F15" s="28"/>
      <c r="M15" s="28"/>
      <c r="N15" s="28"/>
      <c r="U15" s="28"/>
      <c r="V15" s="28"/>
      <c r="W15" s="23" t="s">
        <v>181</v>
      </c>
      <c r="X15" s="20">
        <v>251234</v>
      </c>
      <c r="AC15" s="28"/>
      <c r="AD15" s="28"/>
      <c r="AE15" s="23" t="s">
        <v>30</v>
      </c>
      <c r="AF15">
        <v>3</v>
      </c>
      <c r="AK15" s="28"/>
      <c r="AL15" s="28"/>
      <c r="AM15" s="23" t="s">
        <v>157</v>
      </c>
      <c r="AN15" s="20">
        <v>25244</v>
      </c>
      <c r="AS15" s="28"/>
      <c r="AT15" s="28"/>
      <c r="AU15" s="23" t="s">
        <v>97</v>
      </c>
      <c r="AV15" s="20">
        <v>69891</v>
      </c>
      <c r="BA15" s="28"/>
      <c r="BB15" s="28"/>
      <c r="BE15">
        <f>GETPIVOTDATA("أسم العميل",$BD$11)</f>
        <v>120</v>
      </c>
      <c r="BI15" s="28"/>
      <c r="BJ15" s="28"/>
      <c r="BQ15" s="28"/>
      <c r="BR15" s="28"/>
      <c r="BY15" s="28"/>
      <c r="BZ15" s="28"/>
    </row>
    <row r="16" spans="1:78" x14ac:dyDescent="0.3">
      <c r="E16" s="28"/>
      <c r="F16" s="28"/>
      <c r="M16" s="28"/>
      <c r="N16" s="28"/>
      <c r="U16" s="28"/>
      <c r="V16" s="28"/>
      <c r="W16" s="23" t="s">
        <v>294</v>
      </c>
      <c r="X16" s="20">
        <v>1254089.31544</v>
      </c>
      <c r="AC16" s="28"/>
      <c r="AD16" s="28"/>
      <c r="AE16" s="23" t="s">
        <v>232</v>
      </c>
      <c r="AF16">
        <v>1</v>
      </c>
      <c r="AK16" s="28"/>
      <c r="AL16" s="28"/>
      <c r="AM16" s="23" t="s">
        <v>202</v>
      </c>
      <c r="AN16" s="20">
        <v>25798</v>
      </c>
      <c r="AS16" s="28"/>
      <c r="AT16" s="28"/>
      <c r="AU16" s="23" t="s">
        <v>294</v>
      </c>
      <c r="AV16" s="20">
        <v>597316.5</v>
      </c>
      <c r="BA16" s="28"/>
      <c r="BB16" s="28"/>
      <c r="BI16" s="28"/>
      <c r="BJ16" s="28"/>
      <c r="BQ16" s="28"/>
      <c r="BR16" s="28"/>
      <c r="BY16" s="28"/>
      <c r="BZ16" s="28"/>
    </row>
    <row r="17" spans="5:78" x14ac:dyDescent="0.3">
      <c r="E17" s="28"/>
      <c r="F17" s="28"/>
      <c r="M17" s="28"/>
      <c r="N17" s="28"/>
      <c r="U17" s="28"/>
      <c r="V17" s="28"/>
      <c r="AC17" s="28"/>
      <c r="AD17" s="28"/>
      <c r="AE17" s="23" t="s">
        <v>221</v>
      </c>
      <c r="AF17">
        <v>2</v>
      </c>
      <c r="AK17" s="28"/>
      <c r="AL17" s="28"/>
      <c r="AM17" s="23" t="s">
        <v>160</v>
      </c>
      <c r="AN17" s="20">
        <v>15528</v>
      </c>
      <c r="AS17" s="28"/>
      <c r="AT17" s="28"/>
      <c r="BA17" s="28"/>
      <c r="BB17" s="28"/>
      <c r="BI17" s="28"/>
      <c r="BJ17" s="28"/>
      <c r="BQ17" s="28"/>
      <c r="BR17" s="28"/>
      <c r="BY17" s="28"/>
      <c r="BZ17" s="28"/>
    </row>
    <row r="18" spans="5:78" x14ac:dyDescent="0.3">
      <c r="E18" s="28"/>
      <c r="F18" s="28"/>
      <c r="M18" s="28"/>
      <c r="N18" s="28"/>
      <c r="U18" s="28"/>
      <c r="V18" s="28"/>
      <c r="AC18" s="28"/>
      <c r="AD18" s="28"/>
      <c r="AE18" s="23" t="s">
        <v>6</v>
      </c>
      <c r="AF18">
        <v>78</v>
      </c>
      <c r="AK18" s="28"/>
      <c r="AL18" s="28"/>
      <c r="AM18" s="23" t="s">
        <v>286</v>
      </c>
      <c r="AN18" s="20">
        <v>109991</v>
      </c>
      <c r="AS18" s="28"/>
      <c r="AT18" s="28"/>
      <c r="BA18" s="28"/>
      <c r="BB18" s="28"/>
      <c r="BI18" s="28"/>
      <c r="BJ18" s="28"/>
      <c r="BQ18" s="28"/>
      <c r="BR18" s="28"/>
      <c r="BY18" s="28"/>
      <c r="BZ18" s="28"/>
    </row>
    <row r="19" spans="5:78" x14ac:dyDescent="0.3">
      <c r="E19" s="28"/>
      <c r="F19" s="28"/>
      <c r="M19" s="28"/>
      <c r="N19" s="28"/>
      <c r="U19" s="28"/>
      <c r="V19" s="28"/>
      <c r="AC19" s="28"/>
      <c r="AD19" s="28"/>
      <c r="AE19" s="23" t="s">
        <v>294</v>
      </c>
      <c r="AF19">
        <v>120</v>
      </c>
      <c r="AK19" s="28"/>
      <c r="AL19" s="28"/>
      <c r="AM19" s="23" t="s">
        <v>188</v>
      </c>
      <c r="AN19" s="20">
        <v>8544.9054400000005</v>
      </c>
      <c r="AS19" s="28"/>
      <c r="AT19" s="28"/>
      <c r="BA19" s="28"/>
      <c r="BB19" s="28"/>
      <c r="BI19" s="28"/>
      <c r="BJ19" s="28"/>
      <c r="BQ19" s="28"/>
      <c r="BR19" s="28"/>
      <c r="BY19" s="28"/>
      <c r="BZ19" s="28"/>
    </row>
    <row r="20" spans="5:78" x14ac:dyDescent="0.3">
      <c r="E20" s="28"/>
      <c r="F20" s="28"/>
      <c r="M20" s="28"/>
      <c r="N20" s="28"/>
      <c r="U20" s="28"/>
      <c r="V20" s="28"/>
      <c r="AC20" s="28"/>
      <c r="AD20" s="28"/>
      <c r="AK20" s="28"/>
      <c r="AL20" s="28"/>
      <c r="AM20" s="23" t="s">
        <v>193</v>
      </c>
      <c r="AN20" s="20">
        <v>5135</v>
      </c>
      <c r="AS20" s="28"/>
      <c r="AT20" s="28"/>
      <c r="BA20" s="28"/>
      <c r="BB20" s="28"/>
      <c r="BI20" s="28"/>
      <c r="BJ20" s="28"/>
      <c r="BQ20" s="28"/>
      <c r="BR20" s="28"/>
      <c r="BY20" s="28"/>
      <c r="BZ20" s="28"/>
    </row>
    <row r="21" spans="5:78" x14ac:dyDescent="0.3">
      <c r="E21" s="28"/>
      <c r="F21" s="28"/>
      <c r="M21" s="28"/>
      <c r="N21" s="28"/>
      <c r="U21" s="28"/>
      <c r="V21" s="28"/>
      <c r="AC21" s="28"/>
      <c r="AD21" s="28"/>
      <c r="AK21" s="28"/>
      <c r="AL21" s="28"/>
      <c r="AM21" s="23" t="s">
        <v>294</v>
      </c>
      <c r="AN21" s="20">
        <v>1254089.3154399998</v>
      </c>
      <c r="AS21" s="28"/>
      <c r="AT21" s="28"/>
      <c r="BA21" s="28"/>
      <c r="BB21" s="28"/>
      <c r="BI21" s="28"/>
      <c r="BJ21" s="28"/>
      <c r="BQ21" s="28"/>
      <c r="BR21" s="28"/>
      <c r="BY21" s="28"/>
      <c r="BZ21" s="28"/>
    </row>
    <row r="22" spans="5:78" x14ac:dyDescent="0.3">
      <c r="E22" s="28"/>
      <c r="F22" s="28"/>
      <c r="M22" s="28"/>
      <c r="N22" s="28"/>
      <c r="U22" s="28"/>
      <c r="V22" s="28"/>
      <c r="AC22" s="28"/>
      <c r="AD22" s="28"/>
      <c r="AK22" s="28"/>
      <c r="AL22" s="28"/>
      <c r="AS22" s="28"/>
      <c r="AT22" s="28"/>
      <c r="BA22" s="28"/>
      <c r="BB22" s="28"/>
      <c r="BI22" s="28"/>
      <c r="BJ22" s="28"/>
      <c r="BQ22" s="28"/>
      <c r="BR22" s="28"/>
      <c r="BY22" s="28"/>
      <c r="BZ22" s="28"/>
    </row>
    <row r="23" spans="5:78" x14ac:dyDescent="0.3">
      <c r="E23" s="28"/>
      <c r="F23" s="28"/>
      <c r="M23" s="28"/>
      <c r="N23" s="28"/>
      <c r="U23" s="28"/>
      <c r="V23" s="28"/>
      <c r="AC23" s="28"/>
      <c r="AD23" s="28"/>
      <c r="AK23" s="28"/>
      <c r="AL23" s="28"/>
      <c r="AS23" s="28"/>
      <c r="AT23" s="28"/>
      <c r="BA23" s="28"/>
      <c r="BB23" s="28"/>
      <c r="BI23" s="28"/>
      <c r="BJ23" s="28"/>
      <c r="BQ23" s="28"/>
      <c r="BR23" s="28"/>
      <c r="BY23" s="28"/>
      <c r="BZ23" s="28"/>
    </row>
    <row r="24" spans="5:78" x14ac:dyDescent="0.3">
      <c r="E24" s="28"/>
      <c r="F24" s="28"/>
      <c r="M24" s="28"/>
      <c r="N24" s="28"/>
      <c r="U24" s="28"/>
      <c r="V24" s="28"/>
      <c r="AC24" s="28"/>
      <c r="AD24" s="28"/>
      <c r="AK24" s="28"/>
      <c r="AL24" s="28"/>
      <c r="AS24" s="28"/>
      <c r="AT24" s="28"/>
      <c r="BA24" s="28"/>
      <c r="BB24" s="28"/>
      <c r="BI24" s="28"/>
      <c r="BJ24" s="28"/>
      <c r="BQ24" s="28"/>
      <c r="BR24" s="28"/>
      <c r="BY24" s="28"/>
      <c r="BZ24" s="28"/>
    </row>
    <row r="25" spans="5:78" x14ac:dyDescent="0.3">
      <c r="E25" s="28"/>
      <c r="F25" s="28"/>
      <c r="M25" s="28"/>
      <c r="N25" s="28"/>
      <c r="U25" s="28"/>
      <c r="V25" s="28"/>
      <c r="AC25" s="28"/>
      <c r="AD25" s="28"/>
      <c r="AK25" s="28"/>
      <c r="AL25" s="28"/>
      <c r="AS25" s="28"/>
      <c r="AT25" s="28"/>
      <c r="BA25" s="28"/>
      <c r="BB25" s="28"/>
      <c r="BI25" s="28"/>
      <c r="BJ25" s="28"/>
      <c r="BQ25" s="28"/>
      <c r="BR25" s="28"/>
      <c r="BY25" s="28"/>
      <c r="BZ25" s="28"/>
    </row>
    <row r="26" spans="5:78" x14ac:dyDescent="0.3">
      <c r="E26" s="28"/>
      <c r="F26" s="28"/>
      <c r="M26" s="28"/>
      <c r="N26" s="28"/>
      <c r="U26" s="28"/>
      <c r="V26" s="28"/>
      <c r="AC26" s="28"/>
      <c r="AD26" s="28"/>
      <c r="AK26" s="28"/>
      <c r="AL26" s="28"/>
      <c r="AS26" s="28"/>
      <c r="AT26" s="28"/>
      <c r="BA26" s="28"/>
      <c r="BB26" s="28"/>
      <c r="BI26" s="28"/>
      <c r="BJ26" s="28"/>
      <c r="BQ26" s="28"/>
      <c r="BR26" s="28"/>
      <c r="BY26" s="28"/>
      <c r="BZ26" s="28"/>
    </row>
    <row r="27" spans="5:78" x14ac:dyDescent="0.3">
      <c r="E27" s="28"/>
      <c r="F27" s="28"/>
      <c r="M27" s="28"/>
      <c r="N27" s="28"/>
      <c r="U27" s="28"/>
      <c r="V27" s="28"/>
      <c r="AC27" s="28"/>
      <c r="AD27" s="28"/>
      <c r="AK27" s="28"/>
      <c r="AL27" s="28"/>
      <c r="AS27" s="28"/>
      <c r="AT27" s="28"/>
      <c r="BA27" s="28"/>
      <c r="BB27" s="28"/>
      <c r="BI27" s="28"/>
      <c r="BJ27" s="28"/>
      <c r="BQ27" s="28"/>
      <c r="BR27" s="28"/>
      <c r="BY27" s="28"/>
      <c r="BZ27" s="28"/>
    </row>
    <row r="28" spans="5:78" x14ac:dyDescent="0.3">
      <c r="E28" s="28"/>
      <c r="F28" s="28"/>
      <c r="M28" s="28"/>
      <c r="N28" s="28"/>
      <c r="U28" s="28"/>
      <c r="V28" s="28"/>
      <c r="AC28" s="28"/>
      <c r="AD28" s="28"/>
      <c r="AK28" s="28"/>
      <c r="AL28" s="28"/>
      <c r="AS28" s="28"/>
      <c r="AT28" s="28"/>
      <c r="BA28" s="28"/>
      <c r="BB28" s="28"/>
      <c r="BI28" s="28"/>
      <c r="BJ28" s="28"/>
      <c r="BQ28" s="28"/>
      <c r="BR28" s="28"/>
      <c r="BY28" s="28"/>
      <c r="BZ28" s="28"/>
    </row>
    <row r="29" spans="5:78" x14ac:dyDescent="0.3">
      <c r="E29" s="28"/>
      <c r="F29" s="28"/>
      <c r="M29" s="28"/>
      <c r="N29" s="28"/>
      <c r="U29" s="28"/>
      <c r="V29" s="28"/>
      <c r="AC29" s="28"/>
      <c r="AD29" s="28"/>
      <c r="AK29" s="28"/>
      <c r="AL29" s="28"/>
      <c r="AS29" s="28"/>
      <c r="AT29" s="28"/>
      <c r="BA29" s="28"/>
      <c r="BB29" s="28"/>
      <c r="BI29" s="28"/>
      <c r="BJ29" s="28"/>
      <c r="BQ29" s="28"/>
      <c r="BR29" s="28"/>
      <c r="BY29" s="28"/>
      <c r="BZ29" s="28"/>
    </row>
  </sheetData>
  <mergeCells count="20">
    <mergeCell ref="BK1:BP4"/>
    <mergeCell ref="BQ1:BR29"/>
    <mergeCell ref="BS1:BX4"/>
    <mergeCell ref="BY1:BZ29"/>
    <mergeCell ref="AM1:AR4"/>
    <mergeCell ref="AS1:AT29"/>
    <mergeCell ref="AU1:AZ4"/>
    <mergeCell ref="BA1:BB29"/>
    <mergeCell ref="BC1:BH4"/>
    <mergeCell ref="BI1:BJ29"/>
    <mergeCell ref="AK1:AL29"/>
    <mergeCell ref="A1:D4"/>
    <mergeCell ref="E1:F29"/>
    <mergeCell ref="G1:L4"/>
    <mergeCell ref="M1:N29"/>
    <mergeCell ref="O1:T4"/>
    <mergeCell ref="U1:V29"/>
    <mergeCell ref="W1:AB4"/>
    <mergeCell ref="AC1:AD29"/>
    <mergeCell ref="AE1:AJ4"/>
  </mergeCell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DFDB-7240-410B-B5A6-536F535C7ADB}">
  <dimension ref="A1"/>
  <sheetViews>
    <sheetView showGridLines="0" tabSelected="1" workbookViewId="0">
      <selection activeCell="X7" sqref="X7"/>
    </sheetView>
  </sheetViews>
  <sheetFormatPr defaultRowHeight="14.4" x14ac:dyDescent="0.3"/>
  <cols>
    <col min="1" max="16384" width="8.8867187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الارشادات</vt:lpstr>
      <vt:lpstr>البيانات</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koko hazem</cp:lastModifiedBy>
  <dcterms:created xsi:type="dcterms:W3CDTF">2015-06-05T18:17:20Z</dcterms:created>
  <dcterms:modified xsi:type="dcterms:W3CDTF">2026-05-17T10:26:10Z</dcterms:modified>
</cp:coreProperties>
</file>